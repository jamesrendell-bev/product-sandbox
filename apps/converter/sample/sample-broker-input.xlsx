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amesrendell/Desktop/"/>
    </mc:Choice>
  </mc:AlternateContent>
  <xr:revisionPtr revIDLastSave="0" documentId="8_{4A89819C-2A07-A043-A04F-4D517DB98774}" xr6:coauthVersionLast="47" xr6:coauthVersionMax="47" xr10:uidLastSave="{00000000-0000-0000-0000-000000000000}"/>
  <bookViews>
    <workbookView xWindow="1880" yWindow="2260" windowWidth="26840" windowHeight="15700" xr2:uid="{CF07C414-20B8-114C-984A-719041BDEDD6}"/>
  </bookViews>
  <sheets>
    <sheet name="ASR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3" i="1" l="1"/>
  <c r="Q83" i="1"/>
  <c r="V82" i="1"/>
  <c r="T82" i="1"/>
  <c r="R82" i="1"/>
  <c r="R84" i="1" s="1"/>
  <c r="Q82" i="1"/>
  <c r="Q84" i="1" s="1"/>
  <c r="U81" i="1"/>
  <c r="W81" i="1" s="1"/>
  <c r="U80" i="1"/>
  <c r="W80" i="1" s="1"/>
  <c r="U79" i="1"/>
  <c r="W79" i="1" s="1"/>
  <c r="N79" i="1"/>
  <c r="M79" i="1"/>
  <c r="L79" i="1"/>
  <c r="U78" i="1"/>
  <c r="W78" i="1" s="1"/>
  <c r="U77" i="1"/>
  <c r="U76" i="1"/>
  <c r="W76" i="1" s="1"/>
  <c r="U75" i="1"/>
  <c r="W75" i="1" s="1"/>
  <c r="U74" i="1"/>
  <c r="W74" i="1" s="1"/>
  <c r="W73" i="1"/>
  <c r="U73" i="1"/>
  <c r="U72" i="1"/>
  <c r="W72" i="1" s="1"/>
  <c r="U71" i="1"/>
  <c r="W71" i="1" s="1"/>
  <c r="U70" i="1"/>
  <c r="W70" i="1" s="1"/>
  <c r="U48" i="1"/>
  <c r="U22" i="1"/>
  <c r="W22" i="1" s="1"/>
  <c r="U5" i="1"/>
  <c r="W5" i="1" s="1"/>
  <c r="W82" i="1" l="1"/>
  <c r="W83" i="1"/>
  <c r="U82" i="1"/>
  <c r="W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tc={6B0FCC26-3D0B-9345-BC66-2B9D3D04B329}</author>
  </authors>
  <commentList>
    <comment ref="T81" authorId="0" shapeId="0" xr:uid="{6B0FCC26-3D0B-9345-BC66-2B9D3D04B329}">
      <text>
        <t>[Threaded comment]
Your version of Excel allows you to read this threaded comment; however, any edits to it will get removed if the file is opened in a newer version of Excel. Learn more: https://go.microsoft.com/fwlink/?linkid=870924
Comment:
    Leased railcars - Contractually required to maintain property insurance</t>
      </text>
    </comment>
  </commentList>
</comments>
</file>

<file path=xl/sharedStrings.xml><?xml version="1.0" encoding="utf-8"?>
<sst xmlns="http://schemas.openxmlformats.org/spreadsheetml/2006/main" count="669" uniqueCount="324">
  <si>
    <t>American Sugar Refining Global Property Value</t>
  </si>
  <si>
    <t>May 1 2026/2027 Policy Period</t>
  </si>
  <si>
    <t>Date</t>
  </si>
  <si>
    <t>DIVISION</t>
  </si>
  <si>
    <t>LOCATION</t>
  </si>
  <si>
    <t>ADDRESS</t>
  </si>
  <si>
    <t>CITY</t>
  </si>
  <si>
    <t>ST/ COUNTRY</t>
  </si>
  <si>
    <t>ZIP CODE</t>
  </si>
  <si>
    <t>OCCUPANCY</t>
  </si>
  <si>
    <t>PREDOMINANT CONSTRUCTION (Floors are concrete unless so noted)</t>
  </si>
  <si>
    <t>OVERALL FACILITY # OF STORIES</t>
  </si>
  <si>
    <t># OF BUILDINGS</t>
  </si>
  <si>
    <t>DATE BUILT</t>
  </si>
  <si>
    <t>SQ FT</t>
  </si>
  <si>
    <t>PROTECTION / SPRINKLERS</t>
  </si>
  <si>
    <t>% SPRINKLERS NEEDED</t>
  </si>
  <si>
    <t>WATER SUPPLY</t>
  </si>
  <si>
    <t xml:space="preserve">BUILDINGS </t>
  </si>
  <si>
    <t xml:space="preserve"> M&amp;E/F&amp;F </t>
  </si>
  <si>
    <t>MISCELLANEOUS</t>
  </si>
  <si>
    <t xml:space="preserve"> TOTAL PD VALUES</t>
  </si>
  <si>
    <t xml:space="preserve"> BUSINESS INTERRUPTION </t>
  </si>
  <si>
    <t xml:space="preserve"> TOTAL PD / BI VALUES</t>
  </si>
  <si>
    <t>American Sugar Refining</t>
  </si>
  <si>
    <t>Baltimore Refinery</t>
  </si>
  <si>
    <t>1100 Key Hwy. E.</t>
  </si>
  <si>
    <t>Baltimore</t>
  </si>
  <si>
    <t>MD</t>
  </si>
  <si>
    <t>Sugar and confectionary products
Cane sugar refining - SIC Code 2062</t>
  </si>
  <si>
    <t>Noncombustible - High Fire Resistance</t>
  </si>
  <si>
    <t>Original 1922. Addi-tions over the years.</t>
  </si>
  <si>
    <t>75.4% Sprinklered</t>
  </si>
  <si>
    <t>5% (as of 2023 report)</t>
  </si>
  <si>
    <t>2000 gpm auto diesel taking suction from the public supply</t>
  </si>
  <si>
    <t>Domino Building (No. 7)</t>
  </si>
  <si>
    <t>Sugar Refining &amp; Packaging</t>
  </si>
  <si>
    <t>Fire Resistive</t>
  </si>
  <si>
    <t>10 stories</t>
  </si>
  <si>
    <t>90% Sprinklered</t>
  </si>
  <si>
    <t xml:space="preserve">Boiler House </t>
  </si>
  <si>
    <t>Boiler Operations</t>
  </si>
  <si>
    <t>Heavy Noncombustible</t>
  </si>
  <si>
    <t>2 stories</t>
  </si>
  <si>
    <t>33,800 Heavy noncombustible</t>
  </si>
  <si>
    <t xml:space="preserve">Power House </t>
  </si>
  <si>
    <t>Turbine Generator Operations</t>
  </si>
  <si>
    <t>3 stories</t>
  </si>
  <si>
    <t>19,500 - Heavy noncombustible</t>
  </si>
  <si>
    <t>Building No. 14 - Coperage Warehouse</t>
  </si>
  <si>
    <t>Coperage Warehouse</t>
  </si>
  <si>
    <t>Masonry plank on timber or steel</t>
  </si>
  <si>
    <t>1 story</t>
  </si>
  <si>
    <t>35,280 - Masonry plank on timber or steel</t>
  </si>
  <si>
    <t>98% Sprinklered</t>
  </si>
  <si>
    <t>1922 Raw Sugar Shed (Building No. 1)</t>
  </si>
  <si>
    <t>Raw Sugar Storage</t>
  </si>
  <si>
    <t>Metal Deck (noncombustible)</t>
  </si>
  <si>
    <t>14,634 - Metal Deck (noncombustible)</t>
  </si>
  <si>
    <r>
      <t xml:space="preserve">1950 Raw Sugar Shed </t>
    </r>
    <r>
      <rPr>
        <sz val="10"/>
        <color rgb="FFFF0000"/>
        <rFont val="Arial"/>
        <family val="2"/>
      </rPr>
      <t xml:space="preserve">- 2021 Fire </t>
    </r>
  </si>
  <si>
    <t xml:space="preserve">30,000 - Light noncombustible </t>
  </si>
  <si>
    <t>Building No. 22 - Refined Sugar Warehouse</t>
  </si>
  <si>
    <t>Refined Sugar Warehouse</t>
  </si>
  <si>
    <t>28,800 - Metal Deck (noncombustible)</t>
  </si>
  <si>
    <t>100% Sprinklered</t>
  </si>
  <si>
    <t>Building No. 3 - Filter House</t>
  </si>
  <si>
    <t>Filter House</t>
  </si>
  <si>
    <t xml:space="preserve">9 stories </t>
  </si>
  <si>
    <t>163,800 - Heavy noncombustible</t>
  </si>
  <si>
    <t>Building No. 13 - Commissary</t>
  </si>
  <si>
    <t>Commissary</t>
  </si>
  <si>
    <t>4,345 - Heavy noncombustible</t>
  </si>
  <si>
    <t>Building No. 12 - Maintenance Shops</t>
  </si>
  <si>
    <t>Maintenance Shops</t>
  </si>
  <si>
    <t>4 stories</t>
  </si>
  <si>
    <t>30,000 - Heavy noncombustible</t>
  </si>
  <si>
    <t>Building No. 2 - Wash House</t>
  </si>
  <si>
    <t>Wash House</t>
  </si>
  <si>
    <t>6 stories</t>
  </si>
  <si>
    <t>32,760 - Heavy noncombustible</t>
  </si>
  <si>
    <t>Building No. 4 - Passage</t>
  </si>
  <si>
    <t>Passage</t>
  </si>
  <si>
    <t>13,824 - Heavy noncombustible</t>
  </si>
  <si>
    <t>58% Sprinklered</t>
  </si>
  <si>
    <t>Bulk Shipping - Warehouse Operations</t>
  </si>
  <si>
    <t>Warehouse Operations</t>
  </si>
  <si>
    <t>17,160 - Heavy noncombustible</t>
  </si>
  <si>
    <t>50% Sprinklered</t>
  </si>
  <si>
    <t xml:space="preserve">Syrup Station </t>
  </si>
  <si>
    <t>Syrup Charging</t>
  </si>
  <si>
    <t>20,700 - Heavy noncombustible</t>
  </si>
  <si>
    <t>37% Sprinklered</t>
  </si>
  <si>
    <t>Old Offices - Vacant</t>
  </si>
  <si>
    <t>Vacant</t>
  </si>
  <si>
    <t>12,000 - Fire resistive</t>
  </si>
  <si>
    <t xml:space="preserve">New Offices </t>
  </si>
  <si>
    <t>Offices</t>
  </si>
  <si>
    <t>13,796 - Fire resistive</t>
  </si>
  <si>
    <t>Chalmette Refinery</t>
  </si>
  <si>
    <t>7417 N. Peters St</t>
  </si>
  <si>
    <t>Arabi</t>
  </si>
  <si>
    <t>LA</t>
  </si>
  <si>
    <t>Noncombustible - Moderate Fire Resistance</t>
  </si>
  <si>
    <t>0% (as of 2022 report)</t>
  </si>
  <si>
    <t>Building No. 4 - Adant Building</t>
  </si>
  <si>
    <t>7417 N. Peters</t>
  </si>
  <si>
    <t>Warehouse</t>
  </si>
  <si>
    <t xml:space="preserve">97% Sprinklered </t>
  </si>
  <si>
    <r>
      <t xml:space="preserve">Chalmette Refinery - Building No. 4B - Warehouse
</t>
    </r>
    <r>
      <rPr>
        <sz val="10"/>
        <color rgb="FFFF0000"/>
        <rFont val="Arial"/>
        <family val="2"/>
      </rPr>
      <t>Combined with 4A on report</t>
    </r>
  </si>
  <si>
    <r>
      <t xml:space="preserve">2 stories
</t>
    </r>
    <r>
      <rPr>
        <sz val="10"/>
        <color rgb="FFFF0000"/>
        <rFont val="Arial"/>
        <family val="2"/>
      </rPr>
      <t>Fire Resistive</t>
    </r>
  </si>
  <si>
    <r>
      <t xml:space="preserve">20,000 - Heavy noncombustible
</t>
    </r>
    <r>
      <rPr>
        <sz val="10"/>
        <color rgb="FFFF0000"/>
        <rFont val="Arial"/>
        <family val="2"/>
      </rPr>
      <t>Combined with 4A on report - 55,000 total</t>
    </r>
  </si>
  <si>
    <t>100% Sprinklered (4A &amp; 4B)</t>
  </si>
  <si>
    <t>Chalmette Refinery - Building No. 9 - Storage &amp; Shipping Ops</t>
  </si>
  <si>
    <t>Storage and Shipping Ops</t>
  </si>
  <si>
    <r>
      <t xml:space="preserve">6 stories
</t>
    </r>
    <r>
      <rPr>
        <sz val="10"/>
        <color rgb="FFFF0000"/>
        <rFont val="Arial"/>
        <family val="2"/>
      </rPr>
      <t>70% Heavy Noncombustible
30% Metal Deck (Noncombustible)</t>
    </r>
  </si>
  <si>
    <r>
      <t xml:space="preserve">202,400 Heavy noncombustible 100,000 - Metal Deck (noncombustible)
</t>
    </r>
    <r>
      <rPr>
        <sz val="10"/>
        <color rgb="FFFF0000"/>
        <rFont val="Arial"/>
        <family val="2"/>
      </rPr>
      <t>302,400 Total</t>
    </r>
  </si>
  <si>
    <t>99% Sprinklered</t>
  </si>
  <si>
    <t>Chalmette Refinery - Building No. 12 - Machine Shop</t>
  </si>
  <si>
    <t>Machine Shop</t>
  </si>
  <si>
    <r>
      <t xml:space="preserve">3 stories
</t>
    </r>
    <r>
      <rPr>
        <sz val="10"/>
        <color rgb="FFFF0000"/>
        <rFont val="Arial"/>
        <family val="2"/>
      </rPr>
      <t>66.7% Heavy Noncombustible
33.3% Metal Deck (Noncombustible)</t>
    </r>
  </si>
  <si>
    <r>
      <t xml:space="preserve">14,700 - Heavy noncombustible     7,350 - Metal Deck (noncombustible)
</t>
    </r>
    <r>
      <rPr>
        <sz val="10"/>
        <color rgb="FFFF0000"/>
        <rFont val="Arial"/>
        <family val="2"/>
      </rPr>
      <t>22,050 Total</t>
    </r>
  </si>
  <si>
    <t>Chalmette Refinery - Building No. 19 - Power House - Boiler/Turbine Utility Ops.</t>
  </si>
  <si>
    <t>Boiler / Turbine Utility Ops</t>
  </si>
  <si>
    <r>
      <t xml:space="preserve">3 stories
</t>
    </r>
    <r>
      <rPr>
        <sz val="10"/>
        <color rgb="FFFF0000"/>
        <rFont val="Arial"/>
        <family val="2"/>
      </rPr>
      <t>Heavy Noncombustible</t>
    </r>
  </si>
  <si>
    <t>100,686 - Heavy noncombustible</t>
  </si>
  <si>
    <t>74.5% Sprinklered</t>
  </si>
  <si>
    <t>Chalmette Refinery - Building No. 20 - Liquid Sugar Station</t>
  </si>
  <si>
    <t>Liquid Sugar Station</t>
  </si>
  <si>
    <r>
      <t xml:space="preserve">1 story
</t>
    </r>
    <r>
      <rPr>
        <sz val="10"/>
        <color rgb="FFFF0000"/>
        <rFont val="Arial"/>
        <family val="2"/>
      </rPr>
      <t>Heavy Noncombustible</t>
    </r>
  </si>
  <si>
    <t>27,900 - Heavy noncombustible</t>
  </si>
  <si>
    <t>Chalmette Refinery - Building No. 21 - Pan House</t>
  </si>
  <si>
    <t>Pan House</t>
  </si>
  <si>
    <r>
      <t xml:space="preserve">9 stories 
</t>
    </r>
    <r>
      <rPr>
        <sz val="10"/>
        <color rgb="FFFF0000"/>
        <rFont val="Arial"/>
        <family val="2"/>
      </rPr>
      <t>Heavy Noncombustible</t>
    </r>
  </si>
  <si>
    <t>142,128 - Heavy noncombustible</t>
  </si>
  <si>
    <t>Chalmette Refinery - Building No. 22 - Specialty Sugar Production</t>
  </si>
  <si>
    <t>Specialty Sugar Production</t>
  </si>
  <si>
    <r>
      <t xml:space="preserve">24,800 - Heavy noncombustible   12,400 - Metal Deck (noncombustible)
</t>
    </r>
    <r>
      <rPr>
        <sz val="10"/>
        <color rgb="FFFF0000"/>
        <rFont val="Arial"/>
        <family val="2"/>
      </rPr>
      <t>37,200 Total</t>
    </r>
  </si>
  <si>
    <t>Chalmette Refinery - Building No. 25 - Filter House</t>
  </si>
  <si>
    <r>
      <t xml:space="preserve">13 stories
</t>
    </r>
    <r>
      <rPr>
        <sz val="10"/>
        <color rgb="FFFF0000"/>
        <rFont val="Arial"/>
        <family val="2"/>
      </rPr>
      <t>Heavy Noncombustible</t>
    </r>
  </si>
  <si>
    <t xml:space="preserve">247,572 - Heavy noncombustible </t>
  </si>
  <si>
    <t>Chalmette Refinery - Building No. 29 - Plant Control Offices</t>
  </si>
  <si>
    <t>Plant Control Offices</t>
  </si>
  <si>
    <r>
      <t xml:space="preserve">1 story
</t>
    </r>
    <r>
      <rPr>
        <sz val="10"/>
        <color rgb="FFFF0000"/>
        <rFont val="Arial"/>
        <family val="2"/>
      </rPr>
      <t>Metal Deck (Noncombustible)</t>
    </r>
  </si>
  <si>
    <t>2,376 - Metal Deck (noncombustible)</t>
  </si>
  <si>
    <t>Chalmette Refinery - Building No. 32 - Wash House</t>
  </si>
  <si>
    <r>
      <t xml:space="preserve">4 stories
</t>
    </r>
    <r>
      <rPr>
        <sz val="10"/>
        <color rgb="FFFF0000"/>
        <rFont val="Arial"/>
        <family val="2"/>
      </rPr>
      <t>Heavy Noncombustible</t>
    </r>
  </si>
  <si>
    <t>39,104 - Heavy noncombustible</t>
  </si>
  <si>
    <t>Chalmette Refinery - Building No. 35 - Raw Sugar Shed No. 1</t>
  </si>
  <si>
    <t>Raw Sugar Shed No. 1</t>
  </si>
  <si>
    <t>64,242 - Metal Deck (noncombustible)</t>
  </si>
  <si>
    <t>Chalmette Refinery - Building No. 43 - Raw Sugar Shed No. 3</t>
  </si>
  <si>
    <t>Raw Sugar Shed No. 3</t>
  </si>
  <si>
    <t>44,100 - Metal Deck (noncombustible)</t>
  </si>
  <si>
    <t>Chalmette Refinery - Building No. 51 - Storage Dock No. 1</t>
  </si>
  <si>
    <t>Storage Deck No. 1</t>
  </si>
  <si>
    <t>39,900 - Heavy noncombustible</t>
  </si>
  <si>
    <t>Chalmette Refinery - Building No. 53 - Railroad Shed</t>
  </si>
  <si>
    <t>Railroad Shed</t>
  </si>
  <si>
    <t>17,160 - Metal Deck (noncombustible)</t>
  </si>
  <si>
    <t>Chalmette Refinery - Building No. 1 - Main Offices</t>
  </si>
  <si>
    <t>Main Offices</t>
  </si>
  <si>
    <t>10,000 - Metal Deck (noncombustible)</t>
  </si>
  <si>
    <r>
      <t xml:space="preserve">Chalmette Refinery - Building No. 4A - Warehouse
</t>
    </r>
    <r>
      <rPr>
        <sz val="10"/>
        <color rgb="FFFF0000"/>
        <rFont val="Arial"/>
        <family val="2"/>
      </rPr>
      <t>Combined with 4B on report &amp; separate line item - is this a duplicate?</t>
    </r>
  </si>
  <si>
    <r>
      <t xml:space="preserve">2 stories
</t>
    </r>
    <r>
      <rPr>
        <sz val="10"/>
        <color rgb="FFFF0000"/>
        <rFont val="Arial"/>
        <family val="2"/>
      </rPr>
      <t>Heavy Noncombustible</t>
    </r>
  </si>
  <si>
    <t>35,000 - Heavy noncombustible</t>
  </si>
  <si>
    <t>Chalmette Refinery - Building No. 8 - Production Center</t>
  </si>
  <si>
    <t>Production Center</t>
  </si>
  <si>
    <r>
      <t xml:space="preserve">7 stories
</t>
    </r>
    <r>
      <rPr>
        <sz val="10"/>
        <color rgb="FFFF0000"/>
        <rFont val="Arial"/>
        <family val="2"/>
      </rPr>
      <t>66.7% Heavy Noncombustible
33.3% Metal Deck (Noncombustible)</t>
    </r>
  </si>
  <si>
    <r>
      <t xml:space="preserve">176,400 Heavy noncombustible   88,200 - Metal Deck (noncombustible)
</t>
    </r>
    <r>
      <rPr>
        <sz val="10"/>
        <color rgb="FFFF0000"/>
        <rFont val="Arial"/>
        <family val="2"/>
      </rPr>
      <t>264,600 Total</t>
    </r>
  </si>
  <si>
    <t>94% Sprinklered</t>
  </si>
  <si>
    <t>Chalmette Refinery - Building No. 28 - Plantation House (Vacant)</t>
  </si>
  <si>
    <t>Plantation House (Vacant)</t>
  </si>
  <si>
    <r>
      <t xml:space="preserve">2 stories
</t>
    </r>
    <r>
      <rPr>
        <sz val="10"/>
        <color rgb="FFFF0000"/>
        <rFont val="Arial"/>
        <family val="2"/>
      </rPr>
      <t>Frame Joist</t>
    </r>
  </si>
  <si>
    <t>6,000 - Frame Joist</t>
  </si>
  <si>
    <t>Chalmette Refinery - Building No. 30 - Mud House (Idle)</t>
  </si>
  <si>
    <t>Mud House (Idle)</t>
  </si>
  <si>
    <r>
      <t xml:space="preserve">5 stories
</t>
    </r>
    <r>
      <rPr>
        <sz val="10"/>
        <color rgb="FFFF0000"/>
        <rFont val="Arial"/>
        <family val="2"/>
      </rPr>
      <t>Heavy Noncombustible</t>
    </r>
  </si>
  <si>
    <t>10,120 - Heavy noncombustible</t>
  </si>
  <si>
    <t>Chalmette Refinery - Building No. 33 - Truck Maintenance</t>
  </si>
  <si>
    <t>Truck Maintenance</t>
  </si>
  <si>
    <t>2,500 - Metal Deck (noncombustible)</t>
  </si>
  <si>
    <t>Chalmette Refinery - Building No. 39 - Safety Office</t>
  </si>
  <si>
    <t>Safety Office</t>
  </si>
  <si>
    <t xml:space="preserve">2,500 - Heavy noncombustible </t>
  </si>
  <si>
    <t>Chalmette Refinery - Building No. 44 - Raw Sugar Shed No. 2</t>
  </si>
  <si>
    <t>Raw Sugar Shed No. 2</t>
  </si>
  <si>
    <t>34,840 - Metal Deck (noncombustible)</t>
  </si>
  <si>
    <t>Chalmette Refinery - Building No. 52 - Storage Dock No. 2</t>
  </si>
  <si>
    <t>Storage Dock No. 2</t>
  </si>
  <si>
    <t>20,100 - Heavy noncombustible</t>
  </si>
  <si>
    <t>Chalmette Refinery - 1983 Offices</t>
  </si>
  <si>
    <t>1983 Offices</t>
  </si>
  <si>
    <t>2,400 - Metal Deck (noncombustible)</t>
  </si>
  <si>
    <t>Yonkers Refinery</t>
  </si>
  <si>
    <t>Main Plant, 1 Federal Street</t>
  </si>
  <si>
    <t>Yonkers</t>
  </si>
  <si>
    <t>NY</t>
  </si>
  <si>
    <t>56% Sprinklered</t>
  </si>
  <si>
    <t>16% (as of 2022 report)</t>
  </si>
  <si>
    <t>Public + 500 gpm at 85 auto electric pump taking suction from the public for silo and standpipe systems.</t>
  </si>
  <si>
    <t>-</t>
  </si>
  <si>
    <t>Note: Yonkers refinery closing operations in Dec'25.</t>
  </si>
  <si>
    <t>Building No. 1A</t>
  </si>
  <si>
    <t>Sugar Warehouses / Bins</t>
  </si>
  <si>
    <t>Light Noncombustible</t>
  </si>
  <si>
    <t>Building No. 1B - Conveyor/Transfer Building</t>
  </si>
  <si>
    <t>Conveyor / Transfer Building</t>
  </si>
  <si>
    <t>28,000 - Heavy noncombustible</t>
  </si>
  <si>
    <t>Building No. 1 - To be demolished</t>
  </si>
  <si>
    <t>To Be Demolished</t>
  </si>
  <si>
    <t>32,000 - combustible-other</t>
  </si>
  <si>
    <t xml:space="preserve">Building No. 3 - Granular Carbon Facility </t>
  </si>
  <si>
    <t>Granular Carbon Facility</t>
  </si>
  <si>
    <t>Combustible - Other</t>
  </si>
  <si>
    <t xml:space="preserve">5,000 - Light noncombustible </t>
  </si>
  <si>
    <t>Building Nos. 3B &amp; 4B - Pump Houses</t>
  </si>
  <si>
    <t>Pump Houses</t>
  </si>
  <si>
    <t>Metal Deck (combustible)</t>
  </si>
  <si>
    <t>1,600 - Metal Deck (combustible)</t>
  </si>
  <si>
    <t>Building No. 4 - Main Turbine Building</t>
  </si>
  <si>
    <t>Main Turbine Building</t>
  </si>
  <si>
    <t>8,000 - Heavy noncombustile</t>
  </si>
  <si>
    <t>Building No. 5 - Boiler/Mechanical Equipement</t>
  </si>
  <si>
    <t>Boiler / Mechanical Equipment</t>
  </si>
  <si>
    <t>5,000 - Heavy noncombustible</t>
  </si>
  <si>
    <t>Building No. 5A - Gas Turbine/Waste heat Boiler</t>
  </si>
  <si>
    <t>Gas Turbine / Waste Heat Boiler</t>
  </si>
  <si>
    <t>4,000 - Metal Deck (combustible)</t>
  </si>
  <si>
    <t>Building Nos. 6, 7, 8 - Sump Pumps, syrup shipping</t>
  </si>
  <si>
    <t>Sump Pumps, Syrup Shipping</t>
  </si>
  <si>
    <t>35,000 - Metal Deck (combustible)</t>
  </si>
  <si>
    <t>Building Nos. 9 &amp; 10 - Main Process Building</t>
  </si>
  <si>
    <t>Main Process Building</t>
  </si>
  <si>
    <t>87.5% Fire Resistive
12.5% Heavy Noncombustible</t>
  </si>
  <si>
    <t xml:space="preserve">70,000 - Fire Resistive 10,000 - Heavy noncombustible </t>
  </si>
  <si>
    <t>Building No. 11 - Bulk Sugar Loading</t>
  </si>
  <si>
    <t>Bulk Sugar Loading</t>
  </si>
  <si>
    <t>4,107 - Metal Deck (combustible)</t>
  </si>
  <si>
    <t>Building Nos. 12A, B, C, &amp; D - Liquor Process, Syrup blending</t>
  </si>
  <si>
    <t>Liquor Process / Syrup Blending</t>
  </si>
  <si>
    <t>35% Fire Resistive / 30% Heavy Noncombustible / 35% Masonry plank on timber or steel</t>
  </si>
  <si>
    <t>7,000 - Fire resistive 6,000 - Heavy noncombustible    7,000 - Masonry plank on timber or steel</t>
  </si>
  <si>
    <t>Building No. 14 - Main Warehouse</t>
  </si>
  <si>
    <t>Main Warehouse</t>
  </si>
  <si>
    <t>Building No. 14B - Main Warehouse Addition</t>
  </si>
  <si>
    <t>Main Warehouse Addition</t>
  </si>
  <si>
    <t>40,000 - Metal Deck (noncombustible)</t>
  </si>
  <si>
    <t>Building No. 14C - Granulated Sugar Warehouse</t>
  </si>
  <si>
    <t>Granulated Sugar Warehouse</t>
  </si>
  <si>
    <t>33,000 - Metal Deck (noncombustible)</t>
  </si>
  <si>
    <t>Building Nos. 15 &amp; 15A - Mingler &amp; Centrifugal Operations</t>
  </si>
  <si>
    <t>Mingler &amp; Centrifugal Operations</t>
  </si>
  <si>
    <t>21,000 - Heavy noncombustible</t>
  </si>
  <si>
    <t>Building No. 16 - Main Process Building &amp; Admin.</t>
  </si>
  <si>
    <t>Main Process Building &amp; Admin</t>
  </si>
  <si>
    <t>90% Fire Resistive / 10% Heavy Noncombustible</t>
  </si>
  <si>
    <t>Original 1902</t>
  </si>
  <si>
    <t>99,000 - Fire Resistive 11,000 - Heavy noncombustible</t>
  </si>
  <si>
    <t>Feuer Building - Packaging Material Storage</t>
  </si>
  <si>
    <t>Packaging Material Storage</t>
  </si>
  <si>
    <t>36,000 - Light noncombustible</t>
  </si>
  <si>
    <t>Fernbrook Building - Vacant</t>
  </si>
  <si>
    <t>28.6% Fire Resistive
14.3% Light Noncombustible
57.1% Metal Deck (noncombustible)</t>
  </si>
  <si>
    <t>2,000 - Fire Resistive 1,000 - Light noncombustible    4,000 - Metal deck (noncombustible)</t>
  </si>
  <si>
    <t>Building No. 20 - Truck Wash</t>
  </si>
  <si>
    <t>Truck Wash</t>
  </si>
  <si>
    <t>4,446 - Metal deck (combustible)</t>
  </si>
  <si>
    <t>Building No. 26 - Spare Parts &amp; Equipment Storage</t>
  </si>
  <si>
    <t>Spare Parts &amp; Equipment Storage</t>
  </si>
  <si>
    <t>5,368 - Metal deck (combustible)</t>
  </si>
  <si>
    <t>C&amp;H Sugar (part of American Sugar Refining)</t>
  </si>
  <si>
    <t>Crockett Refinery</t>
  </si>
  <si>
    <t>830 Loring Avenue</t>
  </si>
  <si>
    <t>Crockett</t>
  </si>
  <si>
    <t>CA</t>
  </si>
  <si>
    <t>75% Sprinklered</t>
  </si>
  <si>
    <t>Waste Water Treatment Plant</t>
  </si>
  <si>
    <t>1809 Dowrelio</t>
  </si>
  <si>
    <t>Crockett Library</t>
  </si>
  <si>
    <t>991 Loring Avenue</t>
  </si>
  <si>
    <t>Crockett Homestead</t>
  </si>
  <si>
    <t>1001 Loring Avenue</t>
  </si>
  <si>
    <t>Chicago Distribution Center</t>
  </si>
  <si>
    <t>2905 S. Western Ave.</t>
  </si>
  <si>
    <t>Chicago</t>
  </si>
  <si>
    <t>IL</t>
  </si>
  <si>
    <t>Noncombustible - Moderate Fire Resistive</t>
  </si>
  <si>
    <t>91% sprinklered</t>
  </si>
  <si>
    <t>1500 gpm at 81 psi auto electric pump taking suction from the pub-lic</t>
  </si>
  <si>
    <t xml:space="preserve">Calumet Manufacturing </t>
  </si>
  <si>
    <t>2400 East 130th Street</t>
  </si>
  <si>
    <t>1 one story; 1 two story both of metal construction</t>
  </si>
  <si>
    <t>1982 / 1992</t>
  </si>
  <si>
    <t>13,179  &amp;  8,445</t>
  </si>
  <si>
    <t>Charlotte Processing</t>
  </si>
  <si>
    <t>500 Domino Court</t>
  </si>
  <si>
    <t>Charlotte</t>
  </si>
  <si>
    <t>NC</t>
  </si>
  <si>
    <t>Cleveland Process Packaging</t>
  </si>
  <si>
    <t>2075 East 65th Street</t>
  </si>
  <si>
    <t>Cleveland</t>
  </si>
  <si>
    <t>OH</t>
  </si>
  <si>
    <t>Combustible - Limited</t>
  </si>
  <si>
    <t>78.6% Sprinklered</t>
  </si>
  <si>
    <t>15.1% (as of 2022)</t>
  </si>
  <si>
    <t>Public water supply</t>
  </si>
  <si>
    <t>Note: Cleveland closed operations during FY25.</t>
  </si>
  <si>
    <t>Nashville Packaging</t>
  </si>
  <si>
    <t>3030 Seaboard Lane</t>
  </si>
  <si>
    <t>Nashville</t>
  </si>
  <si>
    <t>TN</t>
  </si>
  <si>
    <t>Boca Raton Innovation Center</t>
  </si>
  <si>
    <t>3998 FAU Boulevard Suite 110</t>
  </si>
  <si>
    <t>Boca Raton</t>
  </si>
  <si>
    <t>FL</t>
  </si>
  <si>
    <t>US Sugar Co., LLC</t>
  </si>
  <si>
    <t>Buffalo</t>
  </si>
  <si>
    <t>692 Bailey Avenue</t>
  </si>
  <si>
    <t>Other US</t>
  </si>
  <si>
    <t>Miscellaneous Locations</t>
  </si>
  <si>
    <t>Total</t>
  </si>
  <si>
    <t xml:space="preserve">Water Treatment Plant, Crockett Library &amp; Homestead </t>
  </si>
  <si>
    <t>Crockett Misc Locations</t>
  </si>
  <si>
    <t>Notes: Yonkers refinery closing operations in Dec'25.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</si>
</sst>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&quot;$&quot;#,##0.00"/>
    <numFmt numFmtId="166" formatCode="_(* #,##0_);_(* \(#,##0\);_(* &quot;-&quot;??_);_(@_)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14" fontId="5" fillId="0" borderId="2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3" fontId="6" fillId="0" borderId="2" xfId="0" applyNumberFormat="1" applyFont="1" applyBorder="1" applyAlignment="1">
      <alignment wrapText="1"/>
    </xf>
    <xf numFmtId="9" fontId="6" fillId="0" borderId="2" xfId="0" applyNumberFormat="1" applyFont="1" applyBorder="1" applyAlignment="1">
      <alignment wrapText="1"/>
    </xf>
    <xf numFmtId="164" fontId="6" fillId="0" borderId="2" xfId="1" applyNumberFormat="1" applyFont="1" applyFill="1" applyBorder="1" applyAlignment="1">
      <alignment horizontal="center"/>
    </xf>
    <xf numFmtId="164" fontId="6" fillId="0" borderId="2" xfId="1" applyNumberFormat="1" applyFont="1" applyFill="1" applyBorder="1" applyAlignment="1"/>
    <xf numFmtId="165" fontId="1" fillId="0" borderId="0" xfId="0" applyNumberFormat="1" applyFont="1"/>
    <xf numFmtId="164" fontId="1" fillId="0" borderId="0" xfId="0" applyNumberFormat="1" applyFont="1"/>
    <xf numFmtId="14" fontId="8" fillId="0" borderId="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3" fontId="8" fillId="0" borderId="2" xfId="0" applyNumberFormat="1" applyFont="1" applyBorder="1" applyAlignment="1">
      <alignment horizontal="left" wrapText="1"/>
    </xf>
    <xf numFmtId="164" fontId="8" fillId="0" borderId="2" xfId="1" applyNumberFormat="1" applyFont="1" applyFill="1" applyBorder="1" applyAlignment="1">
      <alignment horizontal="center"/>
    </xf>
    <xf numFmtId="164" fontId="8" fillId="0" borderId="2" xfId="1" applyNumberFormat="1" applyFont="1" applyFill="1" applyBorder="1" applyAlignment="1"/>
    <xf numFmtId="0" fontId="8" fillId="0" borderId="0" xfId="0" applyFont="1"/>
    <xf numFmtId="14" fontId="5" fillId="3" borderId="2" xfId="0" applyNumberFormat="1" applyFont="1" applyFill="1" applyBorder="1"/>
    <xf numFmtId="0" fontId="6" fillId="3" borderId="2" xfId="0" applyFont="1" applyFill="1" applyBorder="1"/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0" fontId="8" fillId="3" borderId="2" xfId="0" applyFont="1" applyFill="1" applyBorder="1"/>
    <xf numFmtId="0" fontId="6" fillId="3" borderId="2" xfId="0" applyFont="1" applyFill="1" applyBorder="1" applyAlignment="1">
      <alignment horizontal="center" wrapText="1"/>
    </xf>
    <xf numFmtId="3" fontId="6" fillId="3" borderId="2" xfId="0" applyNumberFormat="1" applyFont="1" applyFill="1" applyBorder="1" applyAlignment="1">
      <alignment wrapText="1"/>
    </xf>
    <xf numFmtId="164" fontId="6" fillId="3" borderId="2" xfId="1" applyNumberFormat="1" applyFont="1" applyFill="1" applyBorder="1" applyAlignment="1">
      <alignment horizontal="center"/>
    </xf>
    <xf numFmtId="164" fontId="6" fillId="3" borderId="2" xfId="1" applyNumberFormat="1" applyFont="1" applyFill="1" applyBorder="1" applyAlignment="1"/>
    <xf numFmtId="0" fontId="1" fillId="3" borderId="0" xfId="0" applyFont="1" applyFill="1"/>
    <xf numFmtId="3" fontId="6" fillId="0" borderId="2" xfId="0" applyNumberFormat="1" applyFont="1" applyBorder="1"/>
    <xf numFmtId="3" fontId="8" fillId="0" borderId="2" xfId="0" applyNumberFormat="1" applyFont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3" fontId="6" fillId="0" borderId="3" xfId="0" applyNumberFormat="1" applyFont="1" applyBorder="1" applyAlignment="1">
      <alignment wrapText="1"/>
    </xf>
    <xf numFmtId="164" fontId="6" fillId="0" borderId="3" xfId="1" applyNumberFormat="1" applyFont="1" applyFill="1" applyBorder="1" applyAlignment="1">
      <alignment horizontal="center"/>
    </xf>
    <xf numFmtId="164" fontId="6" fillId="0" borderId="3" xfId="1" applyNumberFormat="1" applyFont="1" applyFill="1" applyBorder="1" applyAlignment="1"/>
    <xf numFmtId="0" fontId="1" fillId="0" borderId="2" xfId="0" applyFont="1" applyBorder="1" applyAlignment="1">
      <alignment horizontal="center" wrapText="1"/>
    </xf>
    <xf numFmtId="165" fontId="8" fillId="0" borderId="0" xfId="0" applyNumberFormat="1" applyFont="1"/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wrapText="1"/>
    </xf>
    <xf numFmtId="164" fontId="8" fillId="0" borderId="4" xfId="1" applyNumberFormat="1" applyFont="1" applyFill="1" applyBorder="1" applyAlignment="1">
      <alignment horizontal="center"/>
    </xf>
    <xf numFmtId="164" fontId="8" fillId="0" borderId="4" xfId="1" applyNumberFormat="1" applyFont="1" applyFill="1" applyBorder="1" applyAlignment="1"/>
    <xf numFmtId="164" fontId="8" fillId="0" borderId="4" xfId="0" applyNumberFormat="1" applyFont="1" applyBorder="1"/>
    <xf numFmtId="0" fontId="1" fillId="0" borderId="2" xfId="0" applyFont="1" applyBorder="1"/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3" fontId="6" fillId="0" borderId="4" xfId="0" applyNumberFormat="1" applyFont="1" applyBorder="1" applyAlignment="1">
      <alignment wrapText="1"/>
    </xf>
    <xf numFmtId="164" fontId="6" fillId="0" borderId="4" xfId="1" applyNumberFormat="1" applyFont="1" applyFill="1" applyBorder="1" applyAlignment="1">
      <alignment horizontal="center"/>
    </xf>
    <xf numFmtId="164" fontId="6" fillId="0" borderId="4" xfId="1" applyNumberFormat="1" applyFont="1" applyFill="1" applyBorder="1" applyAlignment="1"/>
    <xf numFmtId="10" fontId="6" fillId="0" borderId="2" xfId="0" applyNumberFormat="1" applyFont="1" applyBorder="1" applyAlignment="1">
      <alignment wrapText="1"/>
    </xf>
    <xf numFmtId="3" fontId="6" fillId="0" borderId="2" xfId="0" applyNumberFormat="1" applyFont="1" applyBorder="1" applyAlignment="1">
      <alignment horizontal="center"/>
    </xf>
    <xf numFmtId="3" fontId="8" fillId="0" borderId="2" xfId="0" applyNumberFormat="1" applyFont="1" applyBorder="1"/>
    <xf numFmtId="0" fontId="1" fillId="0" borderId="2" xfId="0" applyFont="1" applyBorder="1" applyAlignment="1">
      <alignment horizontal="center"/>
    </xf>
    <xf numFmtId="166" fontId="6" fillId="0" borderId="2" xfId="1" applyNumberFormat="1" applyFont="1" applyBorder="1"/>
    <xf numFmtId="0" fontId="6" fillId="0" borderId="5" xfId="0" applyFont="1" applyBorder="1"/>
    <xf numFmtId="3" fontId="6" fillId="0" borderId="5" xfId="0" applyNumberFormat="1" applyFont="1" applyBorder="1"/>
    <xf numFmtId="0" fontId="2" fillId="4" borderId="5" xfId="0" applyFont="1" applyFill="1" applyBorder="1"/>
    <xf numFmtId="164" fontId="2" fillId="4" borderId="5" xfId="0" applyNumberFormat="1" applyFont="1" applyFill="1" applyBorder="1" applyAlignment="1">
      <alignment horizontal="center"/>
    </xf>
    <xf numFmtId="164" fontId="2" fillId="4" borderId="5" xfId="0" applyNumberFormat="1" applyFont="1" applyFill="1" applyBorder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Comma 3" xfId="1" xr:uid="{E5FF0012-A46D-FB42-8C63-DC808A81B115}"/>
    <cellStyle name="Normal" xfId="0" builtinId="0"/>
  </cellStyles>
  <dxfs count="1"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er Cuello" id="{84B09C79-C39A-C949-8410-941B0EA0A8BE}" userId="S::Christopher.Cuello@floridacrystals.com::4df20ea6-b8bc-4abf-845a-61fff2a0b17e" providerId="AD"/>
</personList>
</file>

<file path=xl/theme/theme1.xml><?xml version="1.0" encoding="utf-8"?>
<a:theme xmlns:a="http://schemas.openxmlformats.org/drawingml/2006/main" name="Office Theme">
  <a:themeElements>
    <a:clrScheme name="FCC Color Pallet">
      <a:dk1>
        <a:srgbClr val="000000"/>
      </a:dk1>
      <a:lt1>
        <a:sysClr val="window" lastClr="FFFFFF"/>
      </a:lt1>
      <a:dk2>
        <a:srgbClr val="636466"/>
      </a:dk2>
      <a:lt2>
        <a:srgbClr val="F3E8DA"/>
      </a:lt2>
      <a:accent1>
        <a:srgbClr val="004820"/>
      </a:accent1>
      <a:accent2>
        <a:srgbClr val="B6DA58"/>
      </a:accent2>
      <a:accent3>
        <a:srgbClr val="D99F48"/>
      </a:accent3>
      <a:accent4>
        <a:srgbClr val="008F4C"/>
      </a:accent4>
      <a:accent5>
        <a:srgbClr val="7EC34A"/>
      </a:accent5>
      <a:accent6>
        <a:srgbClr val="BCDA53"/>
      </a:accent6>
      <a:hlink>
        <a:srgbClr val="A7A9AC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81" dT="2025-12-05T18:26:42.01" personId="{84B09C79-C39A-C949-8410-941B0EA0A8BE}" id="{6B0FCC26-3D0B-9345-BC66-2B9D3D04B329}">
    <text>Leased railcars - Contractually required to maintain property insurance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97F3-FE1C-F649-BDFB-80A209BDDC4A}">
  <dimension ref="A1:Z89"/>
  <sheetViews>
    <sheetView tabSelected="1" topLeftCell="H57" workbookViewId="0">
      <selection activeCell="I66" sqref="I66"/>
    </sheetView>
  </sheetViews>
  <sheetFormatPr baseColWidth="10" defaultColWidth="8.83203125" defaultRowHeight="13" x14ac:dyDescent="0.15"/>
  <cols>
    <col min="1" max="1" width="10.1640625" style="1" bestFit="1" customWidth="1"/>
    <col min="2" max="2" width="21.1640625" style="1" bestFit="1" customWidth="1"/>
    <col min="3" max="3" width="27" style="1" bestFit="1" customWidth="1"/>
    <col min="4" max="4" width="26.83203125" style="1" customWidth="1"/>
    <col min="5" max="5" width="10.5" style="1" customWidth="1"/>
    <col min="6" max="6" width="10.83203125" style="1" customWidth="1"/>
    <col min="7" max="7" width="9.1640625" style="1" customWidth="1"/>
    <col min="8" max="8" width="28.1640625" style="1" customWidth="1"/>
    <col min="9" max="11" width="33.83203125" style="1" customWidth="1"/>
    <col min="12" max="12" width="23.83203125" style="1" customWidth="1"/>
    <col min="13" max="13" width="19.5" style="1" customWidth="1"/>
    <col min="14" max="16" width="37.1640625" style="1" customWidth="1"/>
    <col min="17" max="17" width="12.83203125" style="1" customWidth="1"/>
    <col min="18" max="18" width="15.5" style="1" bestFit="1" customWidth="1"/>
    <col min="19" max="19" width="15.1640625" style="1" hidden="1" customWidth="1"/>
    <col min="20" max="20" width="12.5" style="1" customWidth="1"/>
    <col min="21" max="21" width="17.1640625" style="1" customWidth="1"/>
    <col min="22" max="22" width="19.5" style="1" customWidth="1"/>
    <col min="23" max="23" width="15.5" style="1" bestFit="1" customWidth="1"/>
    <col min="24" max="24" width="16.83203125" style="1" customWidth="1"/>
    <col min="25" max="25" width="13.83203125" style="1" bestFit="1" customWidth="1"/>
    <col min="26" max="26" width="9.83203125" style="1" bestFit="1" customWidth="1"/>
    <col min="27" max="16384" width="8.83203125" style="1"/>
  </cols>
  <sheetData>
    <row r="1" spans="1:26" x14ac:dyDescent="0.15">
      <c r="A1" s="1" t="s">
        <v>0</v>
      </c>
    </row>
    <row r="2" spans="1:26" x14ac:dyDescent="0.15">
      <c r="A2" t="s">
        <v>1</v>
      </c>
      <c r="T2" s="2"/>
    </row>
    <row r="3" spans="1:26" ht="14" thickBot="1" x14ac:dyDescent="0.2"/>
    <row r="4" spans="1:26" ht="29" thickTop="1" x14ac:dyDescent="0.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5" t="s">
        <v>18</v>
      </c>
      <c r="R4" s="5" t="s">
        <v>19</v>
      </c>
      <c r="S4" s="3"/>
      <c r="T4" s="3" t="s">
        <v>20</v>
      </c>
      <c r="U4" s="3" t="s">
        <v>21</v>
      </c>
      <c r="V4" s="3" t="s">
        <v>22</v>
      </c>
      <c r="W4" s="3" t="s">
        <v>23</v>
      </c>
    </row>
    <row r="5" spans="1:26" ht="42" x14ac:dyDescent="0.15">
      <c r="A5" s="6">
        <v>45971</v>
      </c>
      <c r="B5" s="7" t="s">
        <v>24</v>
      </c>
      <c r="C5" s="8" t="s">
        <v>25</v>
      </c>
      <c r="D5" s="8" t="s">
        <v>26</v>
      </c>
      <c r="E5" s="8" t="s">
        <v>27</v>
      </c>
      <c r="F5" s="9" t="s">
        <v>28</v>
      </c>
      <c r="G5" s="10">
        <v>21230</v>
      </c>
      <c r="H5" s="11" t="s">
        <v>29</v>
      </c>
      <c r="I5" s="8" t="s">
        <v>30</v>
      </c>
      <c r="J5" s="8">
        <v>10</v>
      </c>
      <c r="K5" s="8">
        <v>15</v>
      </c>
      <c r="L5" s="12" t="s">
        <v>31</v>
      </c>
      <c r="M5" s="13">
        <v>772599</v>
      </c>
      <c r="N5" s="8" t="s">
        <v>32</v>
      </c>
      <c r="O5" s="14" t="s">
        <v>33</v>
      </c>
      <c r="P5" s="8" t="s">
        <v>34</v>
      </c>
      <c r="Q5" s="15">
        <v>266842000</v>
      </c>
      <c r="R5" s="15">
        <v>549393000</v>
      </c>
      <c r="S5" s="16"/>
      <c r="T5" s="15"/>
      <c r="U5" s="15">
        <f>SUM(Q5:T5)</f>
        <v>816235000</v>
      </c>
      <c r="V5" s="15">
        <v>243312000</v>
      </c>
      <c r="W5" s="15">
        <f>+U5+V5</f>
        <v>1059547000</v>
      </c>
      <c r="X5" s="17"/>
      <c r="Y5" s="18"/>
      <c r="Z5" s="18"/>
    </row>
    <row r="6" spans="1:26" s="29" customFormat="1" ht="14" x14ac:dyDescent="0.15">
      <c r="A6" s="19"/>
      <c r="B6" s="20" t="s">
        <v>24</v>
      </c>
      <c r="C6" s="21" t="s">
        <v>35</v>
      </c>
      <c r="D6" s="21" t="s">
        <v>26</v>
      </c>
      <c r="E6" s="21" t="s">
        <v>27</v>
      </c>
      <c r="F6" s="22" t="s">
        <v>28</v>
      </c>
      <c r="G6" s="23">
        <v>21230</v>
      </c>
      <c r="H6" s="24" t="s">
        <v>36</v>
      </c>
      <c r="I6" s="21" t="s">
        <v>37</v>
      </c>
      <c r="J6" s="21" t="s">
        <v>38</v>
      </c>
      <c r="K6" s="21"/>
      <c r="L6" s="25">
        <v>1922</v>
      </c>
      <c r="M6" s="26">
        <v>332200</v>
      </c>
      <c r="N6" s="21" t="s">
        <v>39</v>
      </c>
      <c r="O6" s="21"/>
      <c r="P6" s="21"/>
      <c r="Q6" s="27"/>
      <c r="R6" s="27"/>
      <c r="S6" s="28"/>
      <c r="T6" s="27"/>
      <c r="U6" s="27"/>
      <c r="V6" s="27"/>
      <c r="W6" s="27"/>
      <c r="X6" s="17"/>
    </row>
    <row r="7" spans="1:26" ht="28" x14ac:dyDescent="0.15">
      <c r="A7" s="6">
        <v>43886</v>
      </c>
      <c r="B7" s="7" t="s">
        <v>24</v>
      </c>
      <c r="C7" s="8" t="s">
        <v>40</v>
      </c>
      <c r="D7" s="8" t="s">
        <v>26</v>
      </c>
      <c r="E7" s="8" t="s">
        <v>27</v>
      </c>
      <c r="F7" s="9" t="s">
        <v>28</v>
      </c>
      <c r="G7" s="10">
        <v>21230</v>
      </c>
      <c r="H7" s="23" t="s">
        <v>41</v>
      </c>
      <c r="I7" s="20" t="s">
        <v>42</v>
      </c>
      <c r="J7" s="8" t="s">
        <v>43</v>
      </c>
      <c r="K7" s="8"/>
      <c r="L7" s="12">
        <v>1922</v>
      </c>
      <c r="M7" s="13" t="s">
        <v>44</v>
      </c>
      <c r="N7" s="21"/>
      <c r="O7" s="21"/>
      <c r="P7" s="21"/>
      <c r="Q7" s="15"/>
      <c r="R7" s="15"/>
      <c r="S7" s="16"/>
      <c r="T7" s="15"/>
      <c r="U7" s="15"/>
      <c r="V7" s="15"/>
      <c r="W7" s="15"/>
      <c r="X7" s="17"/>
    </row>
    <row r="8" spans="1:26" ht="28" x14ac:dyDescent="0.15">
      <c r="A8" s="6">
        <v>43886</v>
      </c>
      <c r="B8" s="7" t="s">
        <v>24</v>
      </c>
      <c r="C8" s="8" t="s">
        <v>45</v>
      </c>
      <c r="D8" s="8" t="s">
        <v>26</v>
      </c>
      <c r="E8" s="8" t="s">
        <v>27</v>
      </c>
      <c r="F8" s="9" t="s">
        <v>28</v>
      </c>
      <c r="G8" s="10">
        <v>21230</v>
      </c>
      <c r="H8" s="23" t="s">
        <v>46</v>
      </c>
      <c r="I8" s="20" t="s">
        <v>42</v>
      </c>
      <c r="J8" s="8" t="s">
        <v>47</v>
      </c>
      <c r="K8" s="8"/>
      <c r="L8" s="12">
        <v>1922</v>
      </c>
      <c r="M8" s="13" t="s">
        <v>48</v>
      </c>
      <c r="N8" s="8"/>
      <c r="O8" s="8"/>
      <c r="P8" s="8"/>
      <c r="Q8" s="15"/>
      <c r="R8" s="15"/>
      <c r="S8" s="16"/>
      <c r="T8" s="15"/>
      <c r="U8" s="15"/>
      <c r="V8" s="15"/>
      <c r="W8" s="15"/>
      <c r="X8" s="17"/>
    </row>
    <row r="9" spans="1:26" ht="28" x14ac:dyDescent="0.15">
      <c r="A9" s="6">
        <v>43886</v>
      </c>
      <c r="B9" s="7" t="s">
        <v>24</v>
      </c>
      <c r="C9" s="8" t="s">
        <v>49</v>
      </c>
      <c r="D9" s="8" t="s">
        <v>26</v>
      </c>
      <c r="E9" s="8" t="s">
        <v>27</v>
      </c>
      <c r="F9" s="9" t="s">
        <v>28</v>
      </c>
      <c r="G9" s="10">
        <v>21230</v>
      </c>
      <c r="H9" s="23" t="s">
        <v>50</v>
      </c>
      <c r="I9" s="20" t="s">
        <v>51</v>
      </c>
      <c r="J9" s="8" t="s">
        <v>52</v>
      </c>
      <c r="K9" s="8"/>
      <c r="L9" s="12">
        <v>1922</v>
      </c>
      <c r="M9" s="13" t="s">
        <v>53</v>
      </c>
      <c r="N9" s="21" t="s">
        <v>54</v>
      </c>
      <c r="O9" s="21"/>
      <c r="P9" s="21"/>
      <c r="Q9" s="15"/>
      <c r="R9" s="15"/>
      <c r="S9" s="16"/>
      <c r="T9" s="15"/>
      <c r="U9" s="15"/>
      <c r="V9" s="15"/>
      <c r="W9" s="15"/>
      <c r="X9" s="17"/>
    </row>
    <row r="10" spans="1:26" ht="28" x14ac:dyDescent="0.15">
      <c r="A10" s="6">
        <v>43886</v>
      </c>
      <c r="B10" s="7" t="s">
        <v>24</v>
      </c>
      <c r="C10" s="8" t="s">
        <v>55</v>
      </c>
      <c r="D10" s="8" t="s">
        <v>26</v>
      </c>
      <c r="E10" s="8" t="s">
        <v>27</v>
      </c>
      <c r="F10" s="9" t="s">
        <v>28</v>
      </c>
      <c r="G10" s="10">
        <v>21230</v>
      </c>
      <c r="H10" s="23" t="s">
        <v>56</v>
      </c>
      <c r="I10" s="20" t="s">
        <v>57</v>
      </c>
      <c r="J10" s="8" t="s">
        <v>52</v>
      </c>
      <c r="K10" s="8"/>
      <c r="L10" s="12">
        <v>1922</v>
      </c>
      <c r="M10" s="13" t="s">
        <v>58</v>
      </c>
      <c r="N10" s="8"/>
      <c r="O10" s="8"/>
      <c r="P10" s="8"/>
      <c r="Q10" s="15"/>
      <c r="R10" s="15"/>
      <c r="S10" s="16"/>
      <c r="T10" s="15"/>
      <c r="U10" s="15"/>
      <c r="V10" s="15"/>
      <c r="W10" s="15"/>
      <c r="X10" s="17"/>
    </row>
    <row r="11" spans="1:26" s="41" customFormat="1" ht="28" x14ac:dyDescent="0.15">
      <c r="A11" s="30">
        <v>43886</v>
      </c>
      <c r="B11" s="31" t="s">
        <v>24</v>
      </c>
      <c r="C11" s="32" t="s">
        <v>59</v>
      </c>
      <c r="D11" s="32" t="s">
        <v>26</v>
      </c>
      <c r="E11" s="32" t="s">
        <v>27</v>
      </c>
      <c r="F11" s="33" t="s">
        <v>28</v>
      </c>
      <c r="G11" s="34">
        <v>21230</v>
      </c>
      <c r="H11" s="35"/>
      <c r="I11" s="36"/>
      <c r="J11" s="32" t="s">
        <v>52</v>
      </c>
      <c r="K11" s="32"/>
      <c r="L11" s="37">
        <v>1950</v>
      </c>
      <c r="M11" s="38" t="s">
        <v>60</v>
      </c>
      <c r="N11" s="32"/>
      <c r="O11" s="32"/>
      <c r="P11" s="32"/>
      <c r="Q11" s="39"/>
      <c r="R11" s="39"/>
      <c r="S11" s="40"/>
      <c r="T11" s="39"/>
      <c r="U11" s="39"/>
      <c r="V11" s="39"/>
      <c r="W11" s="15"/>
      <c r="X11" s="17"/>
    </row>
    <row r="12" spans="1:26" ht="28" x14ac:dyDescent="0.15">
      <c r="A12" s="6">
        <v>43886</v>
      </c>
      <c r="B12" s="7" t="s">
        <v>24</v>
      </c>
      <c r="C12" s="8" t="s">
        <v>61</v>
      </c>
      <c r="D12" s="8" t="s">
        <v>26</v>
      </c>
      <c r="E12" s="8" t="s">
        <v>27</v>
      </c>
      <c r="F12" s="9" t="s">
        <v>28</v>
      </c>
      <c r="G12" s="10">
        <v>21230</v>
      </c>
      <c r="H12" s="23" t="s">
        <v>62</v>
      </c>
      <c r="I12" s="20" t="s">
        <v>57</v>
      </c>
      <c r="J12" s="8" t="s">
        <v>52</v>
      </c>
      <c r="K12" s="8"/>
      <c r="L12" s="12">
        <v>1922</v>
      </c>
      <c r="M12" s="13" t="s">
        <v>63</v>
      </c>
      <c r="N12" s="21" t="s">
        <v>64</v>
      </c>
      <c r="O12" s="21"/>
      <c r="P12" s="21"/>
      <c r="Q12" s="15"/>
      <c r="R12" s="15"/>
      <c r="S12" s="16"/>
      <c r="T12" s="15"/>
      <c r="U12" s="15"/>
      <c r="V12" s="15"/>
      <c r="W12" s="15"/>
      <c r="X12" s="17"/>
    </row>
    <row r="13" spans="1:26" ht="28" x14ac:dyDescent="0.15">
      <c r="A13" s="6">
        <v>43886</v>
      </c>
      <c r="B13" s="7" t="s">
        <v>24</v>
      </c>
      <c r="C13" s="8" t="s">
        <v>65</v>
      </c>
      <c r="D13" s="8" t="s">
        <v>26</v>
      </c>
      <c r="E13" s="8" t="s">
        <v>27</v>
      </c>
      <c r="F13" s="9" t="s">
        <v>28</v>
      </c>
      <c r="G13" s="10">
        <v>21230</v>
      </c>
      <c r="H13" s="23" t="s">
        <v>66</v>
      </c>
      <c r="I13" s="20" t="s">
        <v>42</v>
      </c>
      <c r="J13" s="8" t="s">
        <v>67</v>
      </c>
      <c r="K13" s="8"/>
      <c r="L13" s="12">
        <v>1921</v>
      </c>
      <c r="M13" s="13" t="s">
        <v>68</v>
      </c>
      <c r="N13" s="21" t="s">
        <v>54</v>
      </c>
      <c r="O13" s="21"/>
      <c r="P13" s="21"/>
      <c r="Q13" s="15"/>
      <c r="R13" s="15"/>
      <c r="S13" s="16"/>
      <c r="T13" s="15"/>
      <c r="U13" s="15"/>
      <c r="V13" s="15"/>
      <c r="W13" s="15"/>
      <c r="X13" s="17"/>
    </row>
    <row r="14" spans="1:26" ht="28" x14ac:dyDescent="0.15">
      <c r="A14" s="6">
        <v>43886</v>
      </c>
      <c r="B14" s="7" t="s">
        <v>24</v>
      </c>
      <c r="C14" s="8" t="s">
        <v>69</v>
      </c>
      <c r="D14" s="8" t="s">
        <v>26</v>
      </c>
      <c r="E14" s="8" t="s">
        <v>27</v>
      </c>
      <c r="F14" s="9" t="s">
        <v>28</v>
      </c>
      <c r="G14" s="10">
        <v>21230</v>
      </c>
      <c r="H14" s="23" t="s">
        <v>70</v>
      </c>
      <c r="I14" s="20" t="s">
        <v>42</v>
      </c>
      <c r="J14" s="8" t="s">
        <v>52</v>
      </c>
      <c r="K14" s="8"/>
      <c r="L14" s="12">
        <v>1922</v>
      </c>
      <c r="M14" s="13" t="s">
        <v>71</v>
      </c>
      <c r="N14" s="21" t="s">
        <v>64</v>
      </c>
      <c r="O14" s="21"/>
      <c r="P14" s="21"/>
      <c r="Q14" s="15"/>
      <c r="R14" s="15"/>
      <c r="S14" s="16"/>
      <c r="T14" s="15"/>
      <c r="U14" s="15"/>
      <c r="V14" s="15"/>
      <c r="W14" s="15"/>
      <c r="X14" s="17"/>
    </row>
    <row r="15" spans="1:26" ht="28" x14ac:dyDescent="0.15">
      <c r="A15" s="6">
        <v>43886</v>
      </c>
      <c r="B15" s="7" t="s">
        <v>24</v>
      </c>
      <c r="C15" s="8" t="s">
        <v>72</v>
      </c>
      <c r="D15" s="8" t="s">
        <v>26</v>
      </c>
      <c r="E15" s="8" t="s">
        <v>27</v>
      </c>
      <c r="F15" s="9" t="s">
        <v>28</v>
      </c>
      <c r="G15" s="10">
        <v>21230</v>
      </c>
      <c r="H15" s="23" t="s">
        <v>73</v>
      </c>
      <c r="I15" s="20" t="s">
        <v>42</v>
      </c>
      <c r="J15" s="8" t="s">
        <v>74</v>
      </c>
      <c r="K15" s="8"/>
      <c r="L15" s="12">
        <v>1922</v>
      </c>
      <c r="M15" s="13" t="s">
        <v>75</v>
      </c>
      <c r="N15" s="21" t="s">
        <v>64</v>
      </c>
      <c r="O15" s="21"/>
      <c r="P15" s="21"/>
      <c r="Q15" s="15"/>
      <c r="R15" s="15"/>
      <c r="S15" s="16"/>
      <c r="T15" s="15"/>
      <c r="U15" s="15"/>
      <c r="V15" s="15"/>
      <c r="W15" s="15"/>
      <c r="X15" s="17"/>
    </row>
    <row r="16" spans="1:26" ht="28" x14ac:dyDescent="0.15">
      <c r="A16" s="6">
        <v>43886</v>
      </c>
      <c r="B16" s="7" t="s">
        <v>24</v>
      </c>
      <c r="C16" s="8" t="s">
        <v>76</v>
      </c>
      <c r="D16" s="8" t="s">
        <v>26</v>
      </c>
      <c r="E16" s="8" t="s">
        <v>27</v>
      </c>
      <c r="F16" s="9" t="s">
        <v>28</v>
      </c>
      <c r="G16" s="10">
        <v>21230</v>
      </c>
      <c r="H16" s="23" t="s">
        <v>77</v>
      </c>
      <c r="I16" s="20" t="s">
        <v>42</v>
      </c>
      <c r="J16" s="8" t="s">
        <v>78</v>
      </c>
      <c r="K16" s="8"/>
      <c r="L16" s="12">
        <v>1922</v>
      </c>
      <c r="M16" s="13" t="s">
        <v>79</v>
      </c>
      <c r="N16" s="8"/>
      <c r="O16" s="8"/>
      <c r="P16" s="8"/>
      <c r="Q16" s="15"/>
      <c r="R16" s="15"/>
      <c r="S16" s="16"/>
      <c r="T16" s="15"/>
      <c r="U16" s="15"/>
      <c r="V16" s="15"/>
      <c r="W16" s="15"/>
      <c r="X16" s="17"/>
    </row>
    <row r="17" spans="1:24" ht="28" x14ac:dyDescent="0.15">
      <c r="A17" s="6">
        <v>43886</v>
      </c>
      <c r="B17" s="7" t="s">
        <v>24</v>
      </c>
      <c r="C17" s="8" t="s">
        <v>80</v>
      </c>
      <c r="D17" s="8" t="s">
        <v>26</v>
      </c>
      <c r="E17" s="8" t="s">
        <v>27</v>
      </c>
      <c r="F17" s="9" t="s">
        <v>28</v>
      </c>
      <c r="G17" s="10">
        <v>21230</v>
      </c>
      <c r="H17" s="23" t="s">
        <v>81</v>
      </c>
      <c r="I17" s="20" t="s">
        <v>42</v>
      </c>
      <c r="J17" s="8" t="s">
        <v>74</v>
      </c>
      <c r="K17" s="8"/>
      <c r="L17" s="12">
        <v>1922</v>
      </c>
      <c r="M17" s="13" t="s">
        <v>82</v>
      </c>
      <c r="N17" s="21" t="s">
        <v>83</v>
      </c>
      <c r="O17" s="21"/>
      <c r="P17" s="21"/>
      <c r="Q17" s="15"/>
      <c r="R17" s="15"/>
      <c r="S17" s="16"/>
      <c r="T17" s="15"/>
      <c r="U17" s="15"/>
      <c r="V17" s="15"/>
      <c r="W17" s="15"/>
      <c r="X17" s="17"/>
    </row>
    <row r="18" spans="1:24" ht="28" x14ac:dyDescent="0.15">
      <c r="A18" s="6">
        <v>43886</v>
      </c>
      <c r="B18" s="7" t="s">
        <v>24</v>
      </c>
      <c r="C18" s="8" t="s">
        <v>84</v>
      </c>
      <c r="D18" s="8" t="s">
        <v>26</v>
      </c>
      <c r="E18" s="8" t="s">
        <v>27</v>
      </c>
      <c r="F18" s="9" t="s">
        <v>28</v>
      </c>
      <c r="G18" s="10">
        <v>21230</v>
      </c>
      <c r="H18" s="23" t="s">
        <v>85</v>
      </c>
      <c r="I18" s="20" t="s">
        <v>42</v>
      </c>
      <c r="J18" s="8" t="s">
        <v>43</v>
      </c>
      <c r="K18" s="8"/>
      <c r="L18" s="12">
        <v>1922</v>
      </c>
      <c r="M18" s="13" t="s">
        <v>86</v>
      </c>
      <c r="N18" s="21" t="s">
        <v>87</v>
      </c>
      <c r="O18" s="21"/>
      <c r="P18" s="21"/>
      <c r="Q18" s="15"/>
      <c r="R18" s="15"/>
      <c r="S18" s="16"/>
      <c r="T18" s="15"/>
      <c r="U18" s="15"/>
      <c r="V18" s="15"/>
      <c r="W18" s="15"/>
      <c r="X18" s="17"/>
    </row>
    <row r="19" spans="1:24" ht="28" x14ac:dyDescent="0.15">
      <c r="A19" s="6">
        <v>43886</v>
      </c>
      <c r="B19" s="7" t="s">
        <v>24</v>
      </c>
      <c r="C19" s="8" t="s">
        <v>88</v>
      </c>
      <c r="D19" s="8" t="s">
        <v>26</v>
      </c>
      <c r="E19" s="8" t="s">
        <v>27</v>
      </c>
      <c r="F19" s="9" t="s">
        <v>28</v>
      </c>
      <c r="G19" s="10">
        <v>21230</v>
      </c>
      <c r="H19" s="23" t="s">
        <v>89</v>
      </c>
      <c r="I19" s="20" t="s">
        <v>42</v>
      </c>
      <c r="J19" s="8" t="s">
        <v>47</v>
      </c>
      <c r="K19" s="8"/>
      <c r="L19" s="12">
        <v>1970</v>
      </c>
      <c r="M19" s="13" t="s">
        <v>90</v>
      </c>
      <c r="N19" s="21" t="s">
        <v>91</v>
      </c>
      <c r="O19" s="21"/>
      <c r="P19" s="21"/>
      <c r="Q19" s="15"/>
      <c r="R19" s="15"/>
      <c r="S19" s="16"/>
      <c r="T19" s="15"/>
      <c r="U19" s="15"/>
      <c r="V19" s="15"/>
      <c r="W19" s="15"/>
      <c r="X19" s="17"/>
    </row>
    <row r="20" spans="1:24" ht="14" x14ac:dyDescent="0.15">
      <c r="A20" s="6">
        <v>43886</v>
      </c>
      <c r="B20" s="7" t="s">
        <v>24</v>
      </c>
      <c r="C20" s="8" t="s">
        <v>92</v>
      </c>
      <c r="D20" s="8" t="s">
        <v>26</v>
      </c>
      <c r="E20" s="8" t="s">
        <v>27</v>
      </c>
      <c r="F20" s="9" t="s">
        <v>28</v>
      </c>
      <c r="G20" s="10">
        <v>21230</v>
      </c>
      <c r="H20" s="23" t="s">
        <v>93</v>
      </c>
      <c r="I20" s="20" t="s">
        <v>37</v>
      </c>
      <c r="J20" s="8" t="s">
        <v>43</v>
      </c>
      <c r="K20" s="8"/>
      <c r="L20" s="12">
        <v>1922</v>
      </c>
      <c r="M20" s="42" t="s">
        <v>94</v>
      </c>
      <c r="N20" s="8"/>
      <c r="O20" s="8"/>
      <c r="P20" s="8"/>
      <c r="Q20" s="15"/>
      <c r="R20" s="15"/>
      <c r="S20" s="16"/>
      <c r="T20" s="15"/>
      <c r="U20" s="15"/>
      <c r="V20" s="15"/>
      <c r="W20" s="15"/>
      <c r="X20" s="17"/>
    </row>
    <row r="21" spans="1:24" ht="14" x14ac:dyDescent="0.15">
      <c r="A21" s="6">
        <v>43886</v>
      </c>
      <c r="B21" s="7" t="s">
        <v>24</v>
      </c>
      <c r="C21" s="8" t="s">
        <v>95</v>
      </c>
      <c r="D21" s="8" t="s">
        <v>26</v>
      </c>
      <c r="E21" s="8" t="s">
        <v>27</v>
      </c>
      <c r="F21" s="9" t="s">
        <v>28</v>
      </c>
      <c r="G21" s="10">
        <v>21230</v>
      </c>
      <c r="H21" s="23" t="s">
        <v>96</v>
      </c>
      <c r="I21" s="20" t="s">
        <v>37</v>
      </c>
      <c r="J21" s="8" t="s">
        <v>52</v>
      </c>
      <c r="K21" s="8"/>
      <c r="L21" s="12">
        <v>1980</v>
      </c>
      <c r="M21" s="42" t="s">
        <v>97</v>
      </c>
      <c r="N21" s="8"/>
      <c r="O21" s="8"/>
      <c r="P21" s="8"/>
      <c r="Q21" s="15"/>
      <c r="R21" s="15"/>
      <c r="S21" s="16"/>
      <c r="T21" s="15"/>
      <c r="U21" s="15"/>
      <c r="V21" s="15"/>
      <c r="W21" s="15"/>
      <c r="X21" s="17"/>
    </row>
    <row r="22" spans="1:24" ht="42" x14ac:dyDescent="0.15">
      <c r="A22" s="6">
        <v>45971</v>
      </c>
      <c r="B22" s="7" t="s">
        <v>24</v>
      </c>
      <c r="C22" s="8" t="s">
        <v>98</v>
      </c>
      <c r="D22" s="8" t="s">
        <v>99</v>
      </c>
      <c r="E22" s="8" t="s">
        <v>100</v>
      </c>
      <c r="F22" s="9" t="s">
        <v>101</v>
      </c>
      <c r="G22" s="10">
        <v>70032</v>
      </c>
      <c r="H22" s="11" t="s">
        <v>29</v>
      </c>
      <c r="I22" s="8" t="s">
        <v>102</v>
      </c>
      <c r="J22" s="8">
        <v>13</v>
      </c>
      <c r="K22" s="8">
        <v>25</v>
      </c>
      <c r="L22" s="12">
        <v>1909</v>
      </c>
      <c r="M22" s="13">
        <v>1709878</v>
      </c>
      <c r="N22" s="8" t="s">
        <v>83</v>
      </c>
      <c r="O22" s="8" t="s">
        <v>103</v>
      </c>
      <c r="P22" s="8" t="s">
        <v>34</v>
      </c>
      <c r="Q22" s="15">
        <v>226749000</v>
      </c>
      <c r="R22" s="15">
        <v>429682000</v>
      </c>
      <c r="S22" s="16"/>
      <c r="T22" s="15"/>
      <c r="U22" s="15">
        <f>SUM(Q22:T22)</f>
        <v>656431000</v>
      </c>
      <c r="V22" s="15">
        <v>241127000</v>
      </c>
      <c r="W22" s="15">
        <f>+U22+V22</f>
        <v>897558000</v>
      </c>
      <c r="X22" s="17"/>
    </row>
    <row r="23" spans="1:24" ht="14" x14ac:dyDescent="0.15">
      <c r="A23" s="6">
        <v>45971</v>
      </c>
      <c r="B23" s="20" t="s">
        <v>24</v>
      </c>
      <c r="C23" s="21" t="s">
        <v>104</v>
      </c>
      <c r="D23" s="21" t="s">
        <v>105</v>
      </c>
      <c r="E23" s="21" t="s">
        <v>100</v>
      </c>
      <c r="F23" s="22" t="s">
        <v>101</v>
      </c>
      <c r="G23" s="23">
        <v>70032</v>
      </c>
      <c r="H23" s="24" t="s">
        <v>106</v>
      </c>
      <c r="I23" s="21" t="s">
        <v>37</v>
      </c>
      <c r="J23" s="21">
        <v>6</v>
      </c>
      <c r="K23" s="21"/>
      <c r="L23" s="25">
        <v>1909</v>
      </c>
      <c r="M23" s="43">
        <v>180000</v>
      </c>
      <c r="N23" s="21" t="s">
        <v>107</v>
      </c>
      <c r="O23" s="21"/>
      <c r="P23" s="21"/>
      <c r="Q23" s="27"/>
      <c r="R23" s="27"/>
      <c r="S23" s="28"/>
      <c r="T23" s="27"/>
      <c r="U23" s="27"/>
      <c r="V23" s="27"/>
      <c r="W23" s="27"/>
      <c r="X23" s="17"/>
    </row>
    <row r="24" spans="1:24" s="41" customFormat="1" ht="70" x14ac:dyDescent="0.15">
      <c r="A24" s="6">
        <v>45971</v>
      </c>
      <c r="B24" s="31" t="s">
        <v>24</v>
      </c>
      <c r="C24" s="32" t="s">
        <v>108</v>
      </c>
      <c r="D24" s="32" t="s">
        <v>105</v>
      </c>
      <c r="E24" s="32" t="s">
        <v>100</v>
      </c>
      <c r="F24" s="33" t="s">
        <v>101</v>
      </c>
      <c r="G24" s="34">
        <v>70032</v>
      </c>
      <c r="H24" s="35" t="s">
        <v>106</v>
      </c>
      <c r="I24" s="32" t="s">
        <v>109</v>
      </c>
      <c r="J24" s="32">
        <v>2</v>
      </c>
      <c r="K24" s="32"/>
      <c r="L24" s="37">
        <v>1970</v>
      </c>
      <c r="M24" s="38" t="s">
        <v>110</v>
      </c>
      <c r="N24" s="44" t="s">
        <v>111</v>
      </c>
      <c r="O24" s="44"/>
      <c r="P24" s="44"/>
      <c r="Q24" s="39"/>
      <c r="R24" s="39"/>
      <c r="S24" s="40"/>
      <c r="T24" s="39"/>
      <c r="U24" s="39"/>
      <c r="V24" s="39"/>
      <c r="W24" s="15"/>
      <c r="X24" s="17"/>
    </row>
    <row r="25" spans="1:24" ht="70" x14ac:dyDescent="0.15">
      <c r="A25" s="6">
        <v>45971</v>
      </c>
      <c r="B25" s="7" t="s">
        <v>24</v>
      </c>
      <c r="C25" s="8" t="s">
        <v>112</v>
      </c>
      <c r="D25" s="8" t="s">
        <v>105</v>
      </c>
      <c r="E25" s="8" t="s">
        <v>100</v>
      </c>
      <c r="F25" s="9" t="s">
        <v>101</v>
      </c>
      <c r="G25" s="10">
        <v>70032</v>
      </c>
      <c r="H25" s="23" t="s">
        <v>113</v>
      </c>
      <c r="I25" s="8" t="s">
        <v>114</v>
      </c>
      <c r="J25" s="8">
        <v>6</v>
      </c>
      <c r="K25" s="8"/>
      <c r="L25" s="12">
        <v>1970</v>
      </c>
      <c r="M25" s="13" t="s">
        <v>115</v>
      </c>
      <c r="N25" s="21" t="s">
        <v>116</v>
      </c>
      <c r="O25" s="21"/>
      <c r="P25" s="21"/>
      <c r="Q25" s="15"/>
      <c r="R25" s="15"/>
      <c r="S25" s="16"/>
      <c r="T25" s="15"/>
      <c r="U25" s="15"/>
      <c r="V25" s="15"/>
      <c r="W25" s="15"/>
      <c r="X25" s="17"/>
    </row>
    <row r="26" spans="1:24" ht="70" x14ac:dyDescent="0.15">
      <c r="A26" s="6">
        <v>45971</v>
      </c>
      <c r="B26" s="7" t="s">
        <v>24</v>
      </c>
      <c r="C26" s="8" t="s">
        <v>117</v>
      </c>
      <c r="D26" s="8" t="s">
        <v>105</v>
      </c>
      <c r="E26" s="8" t="s">
        <v>100</v>
      </c>
      <c r="F26" s="9" t="s">
        <v>101</v>
      </c>
      <c r="G26" s="10">
        <v>70032</v>
      </c>
      <c r="H26" s="23" t="s">
        <v>118</v>
      </c>
      <c r="I26" s="8" t="s">
        <v>119</v>
      </c>
      <c r="J26" s="8">
        <v>3</v>
      </c>
      <c r="K26" s="8"/>
      <c r="L26" s="12">
        <v>1970</v>
      </c>
      <c r="M26" s="13" t="s">
        <v>120</v>
      </c>
      <c r="N26" s="8"/>
      <c r="O26" s="8"/>
      <c r="P26" s="8"/>
      <c r="Q26" s="15"/>
      <c r="R26" s="15"/>
      <c r="S26" s="16"/>
      <c r="T26" s="15"/>
      <c r="U26" s="15"/>
      <c r="V26" s="15"/>
      <c r="W26" s="15"/>
      <c r="X26" s="17"/>
    </row>
    <row r="27" spans="1:24" ht="42" x14ac:dyDescent="0.15">
      <c r="A27" s="6">
        <v>45971</v>
      </c>
      <c r="B27" s="7" t="s">
        <v>24</v>
      </c>
      <c r="C27" s="8" t="s">
        <v>121</v>
      </c>
      <c r="D27" s="8" t="s">
        <v>105</v>
      </c>
      <c r="E27" s="8" t="s">
        <v>100</v>
      </c>
      <c r="F27" s="9" t="s">
        <v>101</v>
      </c>
      <c r="G27" s="10">
        <v>70032</v>
      </c>
      <c r="H27" s="23" t="s">
        <v>122</v>
      </c>
      <c r="I27" s="8" t="s">
        <v>123</v>
      </c>
      <c r="J27" s="8">
        <v>3</v>
      </c>
      <c r="K27" s="8"/>
      <c r="L27" s="12">
        <v>1909</v>
      </c>
      <c r="M27" s="13" t="s">
        <v>124</v>
      </c>
      <c r="N27" s="21" t="s">
        <v>125</v>
      </c>
      <c r="O27" s="21"/>
      <c r="P27" s="21"/>
      <c r="Q27" s="15"/>
      <c r="R27" s="15"/>
      <c r="S27" s="16"/>
      <c r="T27" s="15"/>
      <c r="U27" s="15"/>
      <c r="V27" s="15"/>
      <c r="W27" s="15"/>
      <c r="X27" s="17"/>
    </row>
    <row r="28" spans="1:24" ht="28" x14ac:dyDescent="0.15">
      <c r="A28" s="6">
        <v>45971</v>
      </c>
      <c r="B28" s="7" t="s">
        <v>24</v>
      </c>
      <c r="C28" s="8" t="s">
        <v>126</v>
      </c>
      <c r="D28" s="8" t="s">
        <v>105</v>
      </c>
      <c r="E28" s="8" t="s">
        <v>100</v>
      </c>
      <c r="F28" s="9" t="s">
        <v>101</v>
      </c>
      <c r="G28" s="10">
        <v>70032</v>
      </c>
      <c r="H28" s="23" t="s">
        <v>127</v>
      </c>
      <c r="I28" s="8" t="s">
        <v>128</v>
      </c>
      <c r="J28" s="8">
        <v>1</v>
      </c>
      <c r="K28" s="8"/>
      <c r="L28" s="12">
        <v>1909</v>
      </c>
      <c r="M28" s="13" t="s">
        <v>129</v>
      </c>
      <c r="N28" s="8"/>
      <c r="O28" s="8"/>
      <c r="P28" s="8"/>
      <c r="Q28" s="15"/>
      <c r="R28" s="15"/>
      <c r="S28" s="16"/>
      <c r="T28" s="15"/>
      <c r="U28" s="15"/>
      <c r="V28" s="15"/>
      <c r="W28" s="15"/>
      <c r="X28" s="17"/>
    </row>
    <row r="29" spans="1:24" ht="28" x14ac:dyDescent="0.15">
      <c r="A29" s="6">
        <v>45971</v>
      </c>
      <c r="B29" s="7" t="s">
        <v>24</v>
      </c>
      <c r="C29" s="8" t="s">
        <v>130</v>
      </c>
      <c r="D29" s="8" t="s">
        <v>105</v>
      </c>
      <c r="E29" s="8" t="s">
        <v>100</v>
      </c>
      <c r="F29" s="9" t="s">
        <v>101</v>
      </c>
      <c r="G29" s="10">
        <v>70032</v>
      </c>
      <c r="H29" s="23" t="s">
        <v>131</v>
      </c>
      <c r="I29" s="8" t="s">
        <v>132</v>
      </c>
      <c r="J29" s="8">
        <v>9</v>
      </c>
      <c r="K29" s="8"/>
      <c r="L29" s="12">
        <v>1909</v>
      </c>
      <c r="M29" s="13" t="s">
        <v>133</v>
      </c>
      <c r="N29" s="8"/>
      <c r="O29" s="8"/>
      <c r="P29" s="8"/>
      <c r="Q29" s="15"/>
      <c r="R29" s="15"/>
      <c r="S29" s="16"/>
      <c r="T29" s="15"/>
      <c r="U29" s="15"/>
      <c r="V29" s="15"/>
      <c r="W29" s="15"/>
      <c r="X29" s="17"/>
    </row>
    <row r="30" spans="1:24" ht="70" x14ac:dyDescent="0.15">
      <c r="A30" s="6">
        <v>45971</v>
      </c>
      <c r="B30" s="7" t="s">
        <v>24</v>
      </c>
      <c r="C30" s="8" t="s">
        <v>134</v>
      </c>
      <c r="D30" s="8" t="s">
        <v>105</v>
      </c>
      <c r="E30" s="8" t="s">
        <v>100</v>
      </c>
      <c r="F30" s="9" t="s">
        <v>101</v>
      </c>
      <c r="G30" s="10">
        <v>70032</v>
      </c>
      <c r="H30" s="23" t="s">
        <v>135</v>
      </c>
      <c r="I30" s="8" t="s">
        <v>119</v>
      </c>
      <c r="J30" s="8">
        <v>3</v>
      </c>
      <c r="K30" s="8"/>
      <c r="L30" s="12">
        <v>1970</v>
      </c>
      <c r="M30" s="13" t="s">
        <v>136</v>
      </c>
      <c r="N30" s="21" t="s">
        <v>116</v>
      </c>
      <c r="O30" s="21"/>
      <c r="P30" s="21"/>
      <c r="Q30" s="15"/>
      <c r="R30" s="15"/>
      <c r="S30" s="16"/>
      <c r="T30" s="15"/>
      <c r="U30" s="15"/>
      <c r="V30" s="15"/>
      <c r="W30" s="15"/>
      <c r="X30" s="17"/>
    </row>
    <row r="31" spans="1:24" ht="28" x14ac:dyDescent="0.15">
      <c r="A31" s="6">
        <v>45971</v>
      </c>
      <c r="B31" s="7" t="s">
        <v>24</v>
      </c>
      <c r="C31" s="8" t="s">
        <v>137</v>
      </c>
      <c r="D31" s="8" t="s">
        <v>105</v>
      </c>
      <c r="E31" s="8" t="s">
        <v>100</v>
      </c>
      <c r="F31" s="9" t="s">
        <v>101</v>
      </c>
      <c r="G31" s="10">
        <v>70032</v>
      </c>
      <c r="H31" s="23" t="s">
        <v>66</v>
      </c>
      <c r="I31" s="8" t="s">
        <v>138</v>
      </c>
      <c r="J31" s="8">
        <v>13</v>
      </c>
      <c r="K31" s="8"/>
      <c r="L31" s="12">
        <v>1909</v>
      </c>
      <c r="M31" s="13" t="s">
        <v>139</v>
      </c>
      <c r="N31" s="8"/>
      <c r="O31" s="8"/>
      <c r="P31" s="8"/>
      <c r="Q31" s="15"/>
      <c r="R31" s="15"/>
      <c r="S31" s="16"/>
      <c r="T31" s="15"/>
      <c r="U31" s="15"/>
      <c r="V31" s="15"/>
      <c r="W31" s="15"/>
      <c r="X31" s="17"/>
    </row>
    <row r="32" spans="1:24" ht="28" x14ac:dyDescent="0.15">
      <c r="A32" s="6">
        <v>45971</v>
      </c>
      <c r="B32" s="7" t="s">
        <v>24</v>
      </c>
      <c r="C32" s="8" t="s">
        <v>140</v>
      </c>
      <c r="D32" s="8" t="s">
        <v>105</v>
      </c>
      <c r="E32" s="8" t="s">
        <v>100</v>
      </c>
      <c r="F32" s="9" t="s">
        <v>101</v>
      </c>
      <c r="G32" s="10">
        <v>70032</v>
      </c>
      <c r="H32" s="23" t="s">
        <v>141</v>
      </c>
      <c r="I32" s="8" t="s">
        <v>142</v>
      </c>
      <c r="J32" s="8">
        <v>1</v>
      </c>
      <c r="K32" s="8"/>
      <c r="L32" s="12">
        <v>1970</v>
      </c>
      <c r="M32" s="13" t="s">
        <v>143</v>
      </c>
      <c r="N32" s="21" t="s">
        <v>64</v>
      </c>
      <c r="O32" s="21"/>
      <c r="P32" s="21"/>
      <c r="Q32" s="15"/>
      <c r="R32" s="15"/>
      <c r="S32" s="16"/>
      <c r="T32" s="15"/>
      <c r="U32" s="15"/>
      <c r="V32" s="15"/>
      <c r="W32" s="15"/>
      <c r="X32" s="17"/>
    </row>
    <row r="33" spans="1:25" ht="28" x14ac:dyDescent="0.15">
      <c r="A33" s="6">
        <v>45971</v>
      </c>
      <c r="B33" s="7" t="s">
        <v>24</v>
      </c>
      <c r="C33" s="8" t="s">
        <v>144</v>
      </c>
      <c r="D33" s="8" t="s">
        <v>105</v>
      </c>
      <c r="E33" s="8" t="s">
        <v>100</v>
      </c>
      <c r="F33" s="9" t="s">
        <v>101</v>
      </c>
      <c r="G33" s="10">
        <v>70032</v>
      </c>
      <c r="H33" s="23" t="s">
        <v>77</v>
      </c>
      <c r="I33" s="8" t="s">
        <v>145</v>
      </c>
      <c r="J33" s="8">
        <v>4</v>
      </c>
      <c r="K33" s="8"/>
      <c r="L33" s="12">
        <v>1909</v>
      </c>
      <c r="M33" s="13" t="s">
        <v>146</v>
      </c>
      <c r="N33" s="8"/>
      <c r="O33" s="8"/>
      <c r="P33" s="8"/>
      <c r="Q33" s="15"/>
      <c r="R33" s="15"/>
      <c r="S33" s="16"/>
      <c r="T33" s="15"/>
      <c r="U33" s="15"/>
      <c r="V33" s="15"/>
      <c r="W33" s="15"/>
      <c r="X33" s="17"/>
    </row>
    <row r="34" spans="1:25" ht="28" x14ac:dyDescent="0.15">
      <c r="A34" s="6">
        <v>45971</v>
      </c>
      <c r="B34" s="7" t="s">
        <v>24</v>
      </c>
      <c r="C34" s="8" t="s">
        <v>147</v>
      </c>
      <c r="D34" s="8" t="s">
        <v>105</v>
      </c>
      <c r="E34" s="8" t="s">
        <v>100</v>
      </c>
      <c r="F34" s="9" t="s">
        <v>101</v>
      </c>
      <c r="G34" s="10">
        <v>70032</v>
      </c>
      <c r="H34" s="23" t="s">
        <v>148</v>
      </c>
      <c r="I34" s="8" t="s">
        <v>142</v>
      </c>
      <c r="J34" s="8">
        <v>1</v>
      </c>
      <c r="K34" s="8"/>
      <c r="L34" s="12">
        <v>1909</v>
      </c>
      <c r="M34" s="13" t="s">
        <v>149</v>
      </c>
      <c r="N34" s="8"/>
      <c r="O34" s="8"/>
      <c r="P34" s="8"/>
      <c r="Q34" s="15"/>
      <c r="R34" s="15"/>
      <c r="S34" s="16"/>
      <c r="T34" s="15"/>
      <c r="U34" s="15"/>
      <c r="V34" s="15"/>
      <c r="W34" s="15"/>
      <c r="X34" s="17"/>
    </row>
    <row r="35" spans="1:25" ht="28" x14ac:dyDescent="0.15">
      <c r="A35" s="6">
        <v>45971</v>
      </c>
      <c r="B35" s="7" t="s">
        <v>24</v>
      </c>
      <c r="C35" s="8" t="s">
        <v>150</v>
      </c>
      <c r="D35" s="8" t="s">
        <v>105</v>
      </c>
      <c r="E35" s="8" t="s">
        <v>100</v>
      </c>
      <c r="F35" s="9" t="s">
        <v>101</v>
      </c>
      <c r="G35" s="10">
        <v>70032</v>
      </c>
      <c r="H35" s="23" t="s">
        <v>151</v>
      </c>
      <c r="I35" s="8" t="s">
        <v>142</v>
      </c>
      <c r="J35" s="8">
        <v>1</v>
      </c>
      <c r="K35" s="8"/>
      <c r="L35" s="12">
        <v>1967</v>
      </c>
      <c r="M35" s="13" t="s">
        <v>152</v>
      </c>
      <c r="N35" s="8"/>
      <c r="O35" s="8"/>
      <c r="P35" s="8"/>
      <c r="Q35" s="15"/>
      <c r="R35" s="15"/>
      <c r="S35" s="16"/>
      <c r="T35" s="15"/>
      <c r="U35" s="15"/>
      <c r="V35" s="15"/>
      <c r="W35" s="15"/>
      <c r="X35" s="17"/>
    </row>
    <row r="36" spans="1:25" ht="28" x14ac:dyDescent="0.15">
      <c r="A36" s="6">
        <v>45971</v>
      </c>
      <c r="B36" s="7" t="s">
        <v>24</v>
      </c>
      <c r="C36" s="8" t="s">
        <v>153</v>
      </c>
      <c r="D36" s="8" t="s">
        <v>105</v>
      </c>
      <c r="E36" s="8" t="s">
        <v>100</v>
      </c>
      <c r="F36" s="9" t="s">
        <v>101</v>
      </c>
      <c r="G36" s="10">
        <v>70032</v>
      </c>
      <c r="H36" s="23" t="s">
        <v>154</v>
      </c>
      <c r="I36" s="8" t="s">
        <v>128</v>
      </c>
      <c r="J36" s="8">
        <v>1</v>
      </c>
      <c r="K36" s="8"/>
      <c r="L36" s="12">
        <v>1909</v>
      </c>
      <c r="M36" s="13" t="s">
        <v>155</v>
      </c>
      <c r="N36" s="8"/>
      <c r="O36" s="8"/>
      <c r="P36" s="8"/>
      <c r="Q36" s="15"/>
      <c r="R36" s="15"/>
      <c r="S36" s="16"/>
      <c r="T36" s="15"/>
      <c r="U36" s="15"/>
      <c r="V36" s="15"/>
      <c r="W36" s="15"/>
      <c r="X36" s="17"/>
    </row>
    <row r="37" spans="1:25" ht="28" x14ac:dyDescent="0.15">
      <c r="A37" s="6">
        <v>45971</v>
      </c>
      <c r="B37" s="7" t="s">
        <v>24</v>
      </c>
      <c r="C37" s="8" t="s">
        <v>156</v>
      </c>
      <c r="D37" s="8" t="s">
        <v>105</v>
      </c>
      <c r="E37" s="8" t="s">
        <v>100</v>
      </c>
      <c r="F37" s="9" t="s">
        <v>101</v>
      </c>
      <c r="G37" s="10">
        <v>70032</v>
      </c>
      <c r="H37" s="23" t="s">
        <v>157</v>
      </c>
      <c r="I37" s="8" t="s">
        <v>142</v>
      </c>
      <c r="J37" s="8">
        <v>1</v>
      </c>
      <c r="K37" s="8"/>
      <c r="L37" s="12">
        <v>1909</v>
      </c>
      <c r="M37" s="13" t="s">
        <v>158</v>
      </c>
      <c r="N37" s="8"/>
      <c r="O37" s="8"/>
      <c r="P37" s="8"/>
      <c r="Q37" s="15"/>
      <c r="R37" s="15"/>
      <c r="S37" s="16"/>
      <c r="T37" s="15"/>
      <c r="U37" s="15"/>
      <c r="V37" s="15"/>
      <c r="W37" s="15"/>
      <c r="X37" s="17"/>
    </row>
    <row r="38" spans="1:25" ht="28" x14ac:dyDescent="0.15">
      <c r="A38" s="6">
        <v>45971</v>
      </c>
      <c r="B38" s="7" t="s">
        <v>24</v>
      </c>
      <c r="C38" s="8" t="s">
        <v>159</v>
      </c>
      <c r="D38" s="8" t="s">
        <v>105</v>
      </c>
      <c r="E38" s="8" t="s">
        <v>100</v>
      </c>
      <c r="F38" s="9" t="s">
        <v>101</v>
      </c>
      <c r="G38" s="10">
        <v>70032</v>
      </c>
      <c r="H38" s="23" t="s">
        <v>160</v>
      </c>
      <c r="I38" s="8" t="s">
        <v>142</v>
      </c>
      <c r="J38" s="8">
        <v>1</v>
      </c>
      <c r="K38" s="8"/>
      <c r="L38" s="12">
        <v>2008</v>
      </c>
      <c r="M38" s="13" t="s">
        <v>161</v>
      </c>
      <c r="N38" s="8"/>
      <c r="O38" s="8"/>
      <c r="P38" s="8"/>
      <c r="Q38" s="15"/>
      <c r="R38" s="15"/>
      <c r="S38" s="16"/>
      <c r="T38" s="15"/>
      <c r="U38" s="15"/>
      <c r="V38" s="15"/>
      <c r="W38" s="15"/>
      <c r="X38" s="17"/>
    </row>
    <row r="39" spans="1:25" s="41" customFormat="1" ht="70" x14ac:dyDescent="0.15">
      <c r="A39" s="6">
        <v>45971</v>
      </c>
      <c r="B39" s="31" t="s">
        <v>24</v>
      </c>
      <c r="C39" s="32" t="s">
        <v>162</v>
      </c>
      <c r="D39" s="32" t="s">
        <v>105</v>
      </c>
      <c r="E39" s="32" t="s">
        <v>100</v>
      </c>
      <c r="F39" s="33" t="s">
        <v>101</v>
      </c>
      <c r="G39" s="34">
        <v>70032</v>
      </c>
      <c r="H39" s="35" t="s">
        <v>106</v>
      </c>
      <c r="I39" s="32" t="s">
        <v>163</v>
      </c>
      <c r="J39" s="32">
        <v>2</v>
      </c>
      <c r="K39" s="32"/>
      <c r="L39" s="37">
        <v>1970</v>
      </c>
      <c r="M39" s="38" t="s">
        <v>164</v>
      </c>
      <c r="N39" s="44" t="s">
        <v>64</v>
      </c>
      <c r="O39" s="44"/>
      <c r="P39" s="44"/>
      <c r="Q39" s="39"/>
      <c r="R39" s="39"/>
      <c r="S39" s="40"/>
      <c r="T39" s="39"/>
      <c r="U39" s="39"/>
      <c r="V39" s="39"/>
      <c r="W39" s="15"/>
      <c r="X39" s="17"/>
    </row>
    <row r="40" spans="1:25" ht="70" x14ac:dyDescent="0.15">
      <c r="A40" s="6">
        <v>45971</v>
      </c>
      <c r="B40" s="7" t="s">
        <v>24</v>
      </c>
      <c r="C40" s="8" t="s">
        <v>165</v>
      </c>
      <c r="D40" s="8" t="s">
        <v>105</v>
      </c>
      <c r="E40" s="8" t="s">
        <v>100</v>
      </c>
      <c r="F40" s="9" t="s">
        <v>101</v>
      </c>
      <c r="G40" s="10">
        <v>70032</v>
      </c>
      <c r="H40" s="23" t="s">
        <v>166</v>
      </c>
      <c r="I40" s="8" t="s">
        <v>167</v>
      </c>
      <c r="J40" s="8">
        <v>7</v>
      </c>
      <c r="K40" s="8"/>
      <c r="L40" s="12">
        <v>1970</v>
      </c>
      <c r="M40" s="13" t="s">
        <v>168</v>
      </c>
      <c r="N40" s="21" t="s">
        <v>169</v>
      </c>
      <c r="O40" s="21"/>
      <c r="P40" s="21"/>
      <c r="Q40" s="15"/>
      <c r="R40" s="15"/>
      <c r="S40" s="16"/>
      <c r="T40" s="15"/>
      <c r="U40" s="15"/>
      <c r="V40" s="15"/>
      <c r="W40" s="15"/>
      <c r="X40" s="17"/>
    </row>
    <row r="41" spans="1:25" ht="42" x14ac:dyDescent="0.15">
      <c r="A41" s="6">
        <v>45971</v>
      </c>
      <c r="B41" s="7" t="s">
        <v>24</v>
      </c>
      <c r="C41" s="8" t="s">
        <v>170</v>
      </c>
      <c r="D41" s="8" t="s">
        <v>105</v>
      </c>
      <c r="E41" s="8" t="s">
        <v>100</v>
      </c>
      <c r="F41" s="9" t="s">
        <v>101</v>
      </c>
      <c r="G41" s="10">
        <v>70032</v>
      </c>
      <c r="H41" s="23" t="s">
        <v>171</v>
      </c>
      <c r="I41" s="8" t="s">
        <v>172</v>
      </c>
      <c r="J41" s="8">
        <v>2</v>
      </c>
      <c r="K41" s="8"/>
      <c r="L41" s="12">
        <v>1909</v>
      </c>
      <c r="M41" s="13" t="s">
        <v>173</v>
      </c>
      <c r="N41" s="21" t="s">
        <v>64</v>
      </c>
      <c r="O41" s="21"/>
      <c r="P41" s="21"/>
      <c r="Q41" s="15"/>
      <c r="R41" s="15"/>
      <c r="S41" s="16"/>
      <c r="T41" s="15"/>
      <c r="U41" s="15"/>
      <c r="V41" s="15"/>
      <c r="W41" s="15"/>
      <c r="X41" s="17"/>
    </row>
    <row r="42" spans="1:25" ht="28" x14ac:dyDescent="0.15">
      <c r="A42" s="6">
        <v>45971</v>
      </c>
      <c r="B42" s="7" t="s">
        <v>24</v>
      </c>
      <c r="C42" s="8" t="s">
        <v>174</v>
      </c>
      <c r="D42" s="8" t="s">
        <v>105</v>
      </c>
      <c r="E42" s="8" t="s">
        <v>100</v>
      </c>
      <c r="F42" s="9" t="s">
        <v>101</v>
      </c>
      <c r="G42" s="10">
        <v>70032</v>
      </c>
      <c r="H42" s="23" t="s">
        <v>175</v>
      </c>
      <c r="I42" s="8" t="s">
        <v>176</v>
      </c>
      <c r="J42" s="8">
        <v>5</v>
      </c>
      <c r="K42" s="8"/>
      <c r="L42" s="12">
        <v>1909</v>
      </c>
      <c r="M42" s="13" t="s">
        <v>177</v>
      </c>
      <c r="N42" s="8"/>
      <c r="O42" s="8"/>
      <c r="P42" s="8"/>
      <c r="Q42" s="15"/>
      <c r="R42" s="15"/>
      <c r="S42" s="16"/>
      <c r="T42" s="15"/>
      <c r="U42" s="15"/>
      <c r="V42" s="15"/>
      <c r="W42" s="15"/>
      <c r="X42" s="17"/>
    </row>
    <row r="43" spans="1:25" ht="28" x14ac:dyDescent="0.15">
      <c r="A43" s="6">
        <v>45971</v>
      </c>
      <c r="B43" s="7" t="s">
        <v>24</v>
      </c>
      <c r="C43" s="8" t="s">
        <v>178</v>
      </c>
      <c r="D43" s="8" t="s">
        <v>105</v>
      </c>
      <c r="E43" s="8" t="s">
        <v>100</v>
      </c>
      <c r="F43" s="9" t="s">
        <v>101</v>
      </c>
      <c r="G43" s="10">
        <v>70032</v>
      </c>
      <c r="H43" s="23" t="s">
        <v>179</v>
      </c>
      <c r="I43" s="8" t="s">
        <v>142</v>
      </c>
      <c r="J43" s="8">
        <v>1</v>
      </c>
      <c r="K43" s="8"/>
      <c r="L43" s="12">
        <v>1970</v>
      </c>
      <c r="M43" s="13" t="s">
        <v>180</v>
      </c>
      <c r="N43" s="8"/>
      <c r="O43" s="8"/>
      <c r="P43" s="8"/>
      <c r="Q43" s="15"/>
      <c r="R43" s="15"/>
      <c r="S43" s="16"/>
      <c r="T43" s="15"/>
      <c r="U43" s="15"/>
      <c r="V43" s="15"/>
      <c r="W43" s="15"/>
      <c r="X43" s="17"/>
    </row>
    <row r="44" spans="1:25" ht="28" x14ac:dyDescent="0.15">
      <c r="A44" s="6">
        <v>45971</v>
      </c>
      <c r="B44" s="7" t="s">
        <v>24</v>
      </c>
      <c r="C44" s="8" t="s">
        <v>181</v>
      </c>
      <c r="D44" s="8" t="s">
        <v>105</v>
      </c>
      <c r="E44" s="8" t="s">
        <v>100</v>
      </c>
      <c r="F44" s="9" t="s">
        <v>101</v>
      </c>
      <c r="G44" s="10">
        <v>70032</v>
      </c>
      <c r="H44" s="23" t="s">
        <v>182</v>
      </c>
      <c r="I44" s="8" t="s">
        <v>128</v>
      </c>
      <c r="J44" s="8">
        <v>1</v>
      </c>
      <c r="K44" s="8"/>
      <c r="L44" s="12">
        <v>1970</v>
      </c>
      <c r="M44" s="13" t="s">
        <v>183</v>
      </c>
      <c r="N44" s="21" t="s">
        <v>64</v>
      </c>
      <c r="O44" s="21"/>
      <c r="P44" s="21"/>
      <c r="Q44" s="15"/>
      <c r="R44" s="15"/>
      <c r="S44" s="16"/>
      <c r="T44" s="15"/>
      <c r="U44" s="15"/>
      <c r="V44" s="15"/>
      <c r="W44" s="15"/>
      <c r="X44" s="17"/>
    </row>
    <row r="45" spans="1:25" ht="28" x14ac:dyDescent="0.15">
      <c r="A45" s="6">
        <v>45971</v>
      </c>
      <c r="B45" s="7" t="s">
        <v>24</v>
      </c>
      <c r="C45" s="8" t="s">
        <v>184</v>
      </c>
      <c r="D45" s="8" t="s">
        <v>105</v>
      </c>
      <c r="E45" s="8" t="s">
        <v>100</v>
      </c>
      <c r="F45" s="9" t="s">
        <v>101</v>
      </c>
      <c r="G45" s="10">
        <v>70032</v>
      </c>
      <c r="H45" s="23" t="s">
        <v>185</v>
      </c>
      <c r="I45" s="8" t="s">
        <v>142</v>
      </c>
      <c r="J45" s="8">
        <v>1</v>
      </c>
      <c r="K45" s="8"/>
      <c r="L45" s="12">
        <v>1909</v>
      </c>
      <c r="M45" s="13" t="s">
        <v>186</v>
      </c>
      <c r="N45" s="8"/>
      <c r="O45" s="8"/>
      <c r="P45" s="8"/>
      <c r="Q45" s="15"/>
      <c r="R45" s="15"/>
      <c r="S45" s="16"/>
      <c r="T45" s="15"/>
      <c r="U45" s="15"/>
      <c r="V45" s="15"/>
      <c r="W45" s="15"/>
      <c r="X45" s="17"/>
    </row>
    <row r="46" spans="1:25" ht="28" x14ac:dyDescent="0.15">
      <c r="A46" s="6">
        <v>45971</v>
      </c>
      <c r="B46" s="7" t="s">
        <v>24</v>
      </c>
      <c r="C46" s="8" t="s">
        <v>187</v>
      </c>
      <c r="D46" s="8" t="s">
        <v>105</v>
      </c>
      <c r="E46" s="8" t="s">
        <v>100</v>
      </c>
      <c r="F46" s="9" t="s">
        <v>101</v>
      </c>
      <c r="G46" s="10">
        <v>70032</v>
      </c>
      <c r="H46" s="23" t="s">
        <v>188</v>
      </c>
      <c r="I46" s="8" t="s">
        <v>128</v>
      </c>
      <c r="J46" s="8">
        <v>1</v>
      </c>
      <c r="K46" s="8"/>
      <c r="L46" s="12">
        <v>1909</v>
      </c>
      <c r="M46" s="13" t="s">
        <v>189</v>
      </c>
      <c r="N46" s="21" t="s">
        <v>107</v>
      </c>
      <c r="O46" s="21"/>
      <c r="P46" s="21"/>
      <c r="Q46" s="15"/>
      <c r="R46" s="15"/>
      <c r="S46" s="16"/>
      <c r="T46" s="15"/>
      <c r="U46" s="15"/>
      <c r="V46" s="15"/>
      <c r="W46" s="15"/>
      <c r="X46" s="17"/>
    </row>
    <row r="47" spans="1:25" ht="28" x14ac:dyDescent="0.15">
      <c r="A47" s="6">
        <v>45971</v>
      </c>
      <c r="B47" s="45" t="s">
        <v>24</v>
      </c>
      <c r="C47" s="46" t="s">
        <v>190</v>
      </c>
      <c r="D47" s="46" t="s">
        <v>105</v>
      </c>
      <c r="E47" s="46" t="s">
        <v>100</v>
      </c>
      <c r="F47" s="47" t="s">
        <v>101</v>
      </c>
      <c r="G47" s="48">
        <v>70032</v>
      </c>
      <c r="H47" s="49" t="s">
        <v>191</v>
      </c>
      <c r="I47" s="46" t="s">
        <v>142</v>
      </c>
      <c r="J47" s="46">
        <v>1</v>
      </c>
      <c r="K47" s="46"/>
      <c r="L47" s="50">
        <v>1983</v>
      </c>
      <c r="M47" s="51" t="s">
        <v>192</v>
      </c>
      <c r="N47" s="46"/>
      <c r="O47" s="46"/>
      <c r="P47" s="46"/>
      <c r="Q47" s="52"/>
      <c r="R47" s="52"/>
      <c r="S47" s="53"/>
      <c r="T47" s="52"/>
      <c r="U47" s="52"/>
      <c r="V47" s="52"/>
      <c r="W47" s="52"/>
      <c r="X47" s="17"/>
    </row>
    <row r="48" spans="1:25" ht="42" x14ac:dyDescent="0.15">
      <c r="A48" s="6">
        <v>45971</v>
      </c>
      <c r="B48" s="7" t="s">
        <v>24</v>
      </c>
      <c r="C48" s="8" t="s">
        <v>193</v>
      </c>
      <c r="D48" s="8" t="s">
        <v>194</v>
      </c>
      <c r="E48" s="8" t="s">
        <v>195</v>
      </c>
      <c r="F48" s="9" t="s">
        <v>196</v>
      </c>
      <c r="G48" s="10">
        <v>10705</v>
      </c>
      <c r="H48" s="11" t="s">
        <v>29</v>
      </c>
      <c r="I48" s="8" t="s">
        <v>30</v>
      </c>
      <c r="J48" s="7">
        <v>10</v>
      </c>
      <c r="K48" s="7">
        <v>21</v>
      </c>
      <c r="L48" s="54">
        <v>1902</v>
      </c>
      <c r="M48" s="13">
        <v>529521</v>
      </c>
      <c r="N48" s="8" t="s">
        <v>197</v>
      </c>
      <c r="O48" s="8" t="s">
        <v>198</v>
      </c>
      <c r="P48" s="8" t="s">
        <v>199</v>
      </c>
      <c r="Q48" s="15" t="s">
        <v>200</v>
      </c>
      <c r="R48" s="15" t="s">
        <v>200</v>
      </c>
      <c r="S48" s="16"/>
      <c r="T48" s="15"/>
      <c r="U48" s="15">
        <f>SUM(Q48:T48)</f>
        <v>0</v>
      </c>
      <c r="V48" s="15" t="s">
        <v>200</v>
      </c>
      <c r="W48" s="15">
        <v>0</v>
      </c>
      <c r="X48" s="55" t="s">
        <v>201</v>
      </c>
      <c r="Y48" s="18"/>
    </row>
    <row r="49" spans="1:25" s="56" customFormat="1" ht="14" x14ac:dyDescent="0.15">
      <c r="A49" s="6">
        <v>45971</v>
      </c>
      <c r="B49" s="56" t="s">
        <v>24</v>
      </c>
      <c r="C49" s="57" t="s">
        <v>202</v>
      </c>
      <c r="D49" s="57" t="s">
        <v>194</v>
      </c>
      <c r="E49" s="57" t="s">
        <v>195</v>
      </c>
      <c r="F49" s="58" t="s">
        <v>196</v>
      </c>
      <c r="G49" s="59">
        <v>10705</v>
      </c>
      <c r="H49" s="59" t="s">
        <v>203</v>
      </c>
      <c r="I49" s="56" t="s">
        <v>204</v>
      </c>
      <c r="J49" s="56">
        <v>1</v>
      </c>
      <c r="L49" s="58">
        <v>1955</v>
      </c>
      <c r="M49" s="60">
        <v>22000</v>
      </c>
      <c r="N49" s="57"/>
      <c r="O49" s="57"/>
      <c r="P49" s="57"/>
      <c r="Q49" s="61"/>
      <c r="R49" s="61"/>
      <c r="S49" s="62"/>
      <c r="T49" s="61"/>
      <c r="U49" s="61"/>
      <c r="V49" s="61"/>
      <c r="W49" s="61"/>
      <c r="X49" s="17"/>
      <c r="Y49" s="63"/>
    </row>
    <row r="50" spans="1:25" s="64" customFormat="1" ht="28" x14ac:dyDescent="0.15">
      <c r="A50" s="6">
        <v>45971</v>
      </c>
      <c r="B50" s="7" t="s">
        <v>24</v>
      </c>
      <c r="C50" s="8" t="s">
        <v>205</v>
      </c>
      <c r="D50" s="8" t="s">
        <v>194</v>
      </c>
      <c r="E50" s="8" t="s">
        <v>195</v>
      </c>
      <c r="F50" s="9" t="s">
        <v>196</v>
      </c>
      <c r="G50" s="10">
        <v>10702</v>
      </c>
      <c r="H50" s="23" t="s">
        <v>206</v>
      </c>
      <c r="I50" s="21" t="s">
        <v>42</v>
      </c>
      <c r="J50" s="21">
        <v>1</v>
      </c>
      <c r="K50" s="21"/>
      <c r="L50" s="12">
        <v>1959</v>
      </c>
      <c r="M50" s="13" t="s">
        <v>207</v>
      </c>
      <c r="N50" s="8"/>
      <c r="O50" s="8"/>
      <c r="P50" s="8"/>
      <c r="Q50" s="15"/>
      <c r="R50" s="15"/>
      <c r="S50" s="16"/>
      <c r="T50" s="15"/>
      <c r="U50" s="15"/>
      <c r="V50" s="15"/>
      <c r="W50" s="15"/>
      <c r="X50" s="17"/>
    </row>
    <row r="51" spans="1:25" s="64" customFormat="1" ht="28" x14ac:dyDescent="0.15">
      <c r="A51" s="6">
        <v>45971</v>
      </c>
      <c r="B51" s="7" t="s">
        <v>24</v>
      </c>
      <c r="C51" s="8" t="s">
        <v>208</v>
      </c>
      <c r="D51" s="8" t="s">
        <v>194</v>
      </c>
      <c r="E51" s="8" t="s">
        <v>195</v>
      </c>
      <c r="F51" s="9" t="s">
        <v>196</v>
      </c>
      <c r="G51" s="10">
        <v>10702</v>
      </c>
      <c r="H51" s="23" t="s">
        <v>209</v>
      </c>
      <c r="I51" s="21" t="s">
        <v>42</v>
      </c>
      <c r="J51" s="21">
        <v>1</v>
      </c>
      <c r="K51" s="21"/>
      <c r="L51" s="12">
        <v>1903</v>
      </c>
      <c r="M51" s="13" t="s">
        <v>210</v>
      </c>
      <c r="N51" s="8"/>
      <c r="O51" s="8"/>
      <c r="P51" s="8"/>
      <c r="Q51" s="15"/>
      <c r="R51" s="15"/>
      <c r="S51" s="16"/>
      <c r="T51" s="15"/>
      <c r="U51" s="15"/>
      <c r="V51" s="15"/>
      <c r="W51" s="15"/>
      <c r="X51" s="17"/>
    </row>
    <row r="52" spans="1:25" ht="28" x14ac:dyDescent="0.15">
      <c r="A52" s="6">
        <v>45971</v>
      </c>
      <c r="B52" s="65" t="s">
        <v>24</v>
      </c>
      <c r="C52" s="66" t="s">
        <v>211</v>
      </c>
      <c r="D52" s="66" t="s">
        <v>194</v>
      </c>
      <c r="E52" s="66" t="s">
        <v>195</v>
      </c>
      <c r="F52" s="67" t="s">
        <v>196</v>
      </c>
      <c r="G52" s="68">
        <v>10702</v>
      </c>
      <c r="H52" s="59" t="s">
        <v>212</v>
      </c>
      <c r="I52" s="57" t="s">
        <v>213</v>
      </c>
      <c r="J52" s="57">
        <v>2</v>
      </c>
      <c r="K52" s="57"/>
      <c r="L52" s="69">
        <v>1903</v>
      </c>
      <c r="M52" s="70" t="s">
        <v>214</v>
      </c>
      <c r="N52" s="66"/>
      <c r="O52" s="66"/>
      <c r="P52" s="66"/>
      <c r="Q52" s="71"/>
      <c r="R52" s="71"/>
      <c r="S52" s="72"/>
      <c r="T52" s="71"/>
      <c r="U52" s="71"/>
      <c r="V52" s="71"/>
      <c r="W52" s="71"/>
      <c r="X52" s="17"/>
    </row>
    <row r="53" spans="1:25" ht="28" x14ac:dyDescent="0.15">
      <c r="A53" s="6">
        <v>45971</v>
      </c>
      <c r="B53" s="7" t="s">
        <v>24</v>
      </c>
      <c r="C53" s="8" t="s">
        <v>215</v>
      </c>
      <c r="D53" s="8" t="s">
        <v>194</v>
      </c>
      <c r="E53" s="8" t="s">
        <v>195</v>
      </c>
      <c r="F53" s="9" t="s">
        <v>196</v>
      </c>
      <c r="G53" s="10">
        <v>10702</v>
      </c>
      <c r="H53" s="23" t="s">
        <v>216</v>
      </c>
      <c r="I53" s="21" t="s">
        <v>217</v>
      </c>
      <c r="J53" s="21">
        <v>1</v>
      </c>
      <c r="K53" s="21"/>
      <c r="L53" s="12">
        <v>1941</v>
      </c>
      <c r="M53" s="13" t="s">
        <v>218</v>
      </c>
      <c r="N53" s="8"/>
      <c r="O53" s="8"/>
      <c r="P53" s="8"/>
      <c r="Q53" s="15"/>
      <c r="R53" s="15"/>
      <c r="S53" s="16"/>
      <c r="T53" s="15"/>
      <c r="U53" s="15"/>
      <c r="V53" s="15"/>
      <c r="W53" s="15"/>
      <c r="X53" s="17"/>
    </row>
    <row r="54" spans="1:25" ht="28" x14ac:dyDescent="0.15">
      <c r="A54" s="6">
        <v>45971</v>
      </c>
      <c r="B54" s="7" t="s">
        <v>24</v>
      </c>
      <c r="C54" s="8" t="s">
        <v>219</v>
      </c>
      <c r="D54" s="8" t="s">
        <v>194</v>
      </c>
      <c r="E54" s="8" t="s">
        <v>195</v>
      </c>
      <c r="F54" s="9" t="s">
        <v>196</v>
      </c>
      <c r="G54" s="10">
        <v>10702</v>
      </c>
      <c r="H54" s="23" t="s">
        <v>220</v>
      </c>
      <c r="I54" s="21" t="s">
        <v>42</v>
      </c>
      <c r="J54" s="21">
        <v>3</v>
      </c>
      <c r="K54" s="21"/>
      <c r="L54" s="12">
        <v>1912</v>
      </c>
      <c r="M54" s="13" t="s">
        <v>221</v>
      </c>
      <c r="N54" s="8"/>
      <c r="O54" s="8"/>
      <c r="P54" s="8"/>
      <c r="Q54" s="15"/>
      <c r="R54" s="15"/>
      <c r="S54" s="16"/>
      <c r="T54" s="15"/>
      <c r="U54" s="15"/>
      <c r="V54" s="15"/>
      <c r="W54" s="15"/>
      <c r="X54" s="17"/>
    </row>
    <row r="55" spans="1:25" ht="28" x14ac:dyDescent="0.15">
      <c r="A55" s="6">
        <v>45971</v>
      </c>
      <c r="B55" s="7" t="s">
        <v>24</v>
      </c>
      <c r="C55" s="8" t="s">
        <v>222</v>
      </c>
      <c r="D55" s="8" t="s">
        <v>194</v>
      </c>
      <c r="E55" s="8" t="s">
        <v>195</v>
      </c>
      <c r="F55" s="9" t="s">
        <v>196</v>
      </c>
      <c r="G55" s="10">
        <v>10702</v>
      </c>
      <c r="H55" s="23" t="s">
        <v>223</v>
      </c>
      <c r="I55" s="21" t="s">
        <v>42</v>
      </c>
      <c r="J55" s="21">
        <v>2</v>
      </c>
      <c r="K55" s="21"/>
      <c r="L55" s="12">
        <v>1922</v>
      </c>
      <c r="M55" s="13" t="s">
        <v>224</v>
      </c>
      <c r="N55" s="8"/>
      <c r="O55" s="8"/>
      <c r="P55" s="8"/>
      <c r="Q55" s="15"/>
      <c r="R55" s="15"/>
      <c r="S55" s="16"/>
      <c r="T55" s="15"/>
      <c r="U55" s="15"/>
      <c r="V55" s="15"/>
      <c r="W55" s="15"/>
      <c r="X55" s="17"/>
    </row>
    <row r="56" spans="1:25" ht="28" x14ac:dyDescent="0.15">
      <c r="A56" s="6">
        <v>45971</v>
      </c>
      <c r="B56" s="7" t="s">
        <v>24</v>
      </c>
      <c r="C56" s="8" t="s">
        <v>225</v>
      </c>
      <c r="D56" s="8" t="s">
        <v>194</v>
      </c>
      <c r="E56" s="8" t="s">
        <v>195</v>
      </c>
      <c r="F56" s="9" t="s">
        <v>196</v>
      </c>
      <c r="G56" s="10">
        <v>10702</v>
      </c>
      <c r="H56" s="23" t="s">
        <v>226</v>
      </c>
      <c r="I56" s="21" t="s">
        <v>217</v>
      </c>
      <c r="J56" s="21">
        <v>3</v>
      </c>
      <c r="K56" s="21"/>
      <c r="L56" s="12">
        <v>1991</v>
      </c>
      <c r="M56" s="13" t="s">
        <v>227</v>
      </c>
      <c r="N56" s="8"/>
      <c r="O56" s="8"/>
      <c r="P56" s="8"/>
      <c r="Q56" s="15"/>
      <c r="R56" s="15"/>
      <c r="S56" s="16"/>
      <c r="T56" s="15"/>
      <c r="U56" s="15"/>
      <c r="V56" s="15"/>
      <c r="W56" s="15"/>
      <c r="X56" s="17"/>
    </row>
    <row r="57" spans="1:25" ht="28" x14ac:dyDescent="0.15">
      <c r="A57" s="6">
        <v>45971</v>
      </c>
      <c r="B57" s="7" t="s">
        <v>24</v>
      </c>
      <c r="C57" s="8" t="s">
        <v>228</v>
      </c>
      <c r="D57" s="8" t="s">
        <v>194</v>
      </c>
      <c r="E57" s="8" t="s">
        <v>195</v>
      </c>
      <c r="F57" s="9" t="s">
        <v>196</v>
      </c>
      <c r="G57" s="10">
        <v>10702</v>
      </c>
      <c r="H57" s="23" t="s">
        <v>229</v>
      </c>
      <c r="I57" s="21" t="s">
        <v>217</v>
      </c>
      <c r="J57" s="21">
        <v>3</v>
      </c>
      <c r="K57" s="21"/>
      <c r="L57" s="12">
        <v>1903</v>
      </c>
      <c r="M57" s="13" t="s">
        <v>230</v>
      </c>
      <c r="N57" s="8"/>
      <c r="O57" s="8"/>
      <c r="P57" s="8"/>
      <c r="Q57" s="15"/>
      <c r="R57" s="15"/>
      <c r="S57" s="16"/>
      <c r="T57" s="15"/>
      <c r="U57" s="15"/>
      <c r="V57" s="15"/>
      <c r="W57" s="15"/>
      <c r="X57" s="17"/>
    </row>
    <row r="58" spans="1:25" ht="42" x14ac:dyDescent="0.15">
      <c r="A58" s="6">
        <v>45971</v>
      </c>
      <c r="B58" s="7" t="s">
        <v>24</v>
      </c>
      <c r="C58" s="8" t="s">
        <v>231</v>
      </c>
      <c r="D58" s="8" t="s">
        <v>194</v>
      </c>
      <c r="E58" s="8" t="s">
        <v>195</v>
      </c>
      <c r="F58" s="9" t="s">
        <v>196</v>
      </c>
      <c r="G58" s="10">
        <v>10702</v>
      </c>
      <c r="H58" s="23" t="s">
        <v>232</v>
      </c>
      <c r="I58" s="21" t="s">
        <v>233</v>
      </c>
      <c r="J58" s="21">
        <v>9</v>
      </c>
      <c r="K58" s="21"/>
      <c r="L58" s="12">
        <v>1903</v>
      </c>
      <c r="M58" s="13" t="s">
        <v>234</v>
      </c>
      <c r="N58" s="8"/>
      <c r="O58" s="8"/>
      <c r="P58" s="8"/>
      <c r="Q58" s="15"/>
      <c r="R58" s="15"/>
      <c r="S58" s="16"/>
      <c r="T58" s="15"/>
      <c r="U58" s="15"/>
      <c r="V58" s="15"/>
      <c r="W58" s="15"/>
      <c r="X58" s="17"/>
    </row>
    <row r="59" spans="1:25" ht="28" x14ac:dyDescent="0.15">
      <c r="A59" s="6">
        <v>45971</v>
      </c>
      <c r="B59" s="7" t="s">
        <v>24</v>
      </c>
      <c r="C59" s="8" t="s">
        <v>235</v>
      </c>
      <c r="D59" s="8" t="s">
        <v>194</v>
      </c>
      <c r="E59" s="8" t="s">
        <v>195</v>
      </c>
      <c r="F59" s="9" t="s">
        <v>196</v>
      </c>
      <c r="G59" s="10">
        <v>10702</v>
      </c>
      <c r="H59" s="23" t="s">
        <v>236</v>
      </c>
      <c r="I59" s="21" t="s">
        <v>217</v>
      </c>
      <c r="J59" s="21">
        <v>1</v>
      </c>
      <c r="K59" s="21"/>
      <c r="L59" s="12">
        <v>1918</v>
      </c>
      <c r="M59" s="13" t="s">
        <v>237</v>
      </c>
      <c r="N59" s="8"/>
      <c r="O59" s="8"/>
      <c r="P59" s="8"/>
      <c r="Q59" s="15"/>
      <c r="R59" s="15"/>
      <c r="S59" s="16"/>
      <c r="T59" s="15"/>
      <c r="U59" s="15"/>
      <c r="V59" s="15"/>
      <c r="W59" s="15"/>
      <c r="X59" s="17"/>
    </row>
    <row r="60" spans="1:25" ht="70" x14ac:dyDescent="0.15">
      <c r="A60" s="6">
        <v>45971</v>
      </c>
      <c r="B60" s="7" t="s">
        <v>24</v>
      </c>
      <c r="C60" s="8" t="s">
        <v>238</v>
      </c>
      <c r="D60" s="8" t="s">
        <v>194</v>
      </c>
      <c r="E60" s="8" t="s">
        <v>195</v>
      </c>
      <c r="F60" s="9" t="s">
        <v>196</v>
      </c>
      <c r="G60" s="10">
        <v>10702</v>
      </c>
      <c r="H60" s="23" t="s">
        <v>239</v>
      </c>
      <c r="I60" s="21" t="s">
        <v>240</v>
      </c>
      <c r="J60" s="21">
        <v>1</v>
      </c>
      <c r="K60" s="21"/>
      <c r="L60" s="12">
        <v>1918</v>
      </c>
      <c r="M60" s="13" t="s">
        <v>241</v>
      </c>
      <c r="N60" s="8"/>
      <c r="O60" s="8"/>
      <c r="P60" s="8"/>
      <c r="Q60" s="15"/>
      <c r="R60" s="15"/>
      <c r="S60" s="16"/>
      <c r="T60" s="15"/>
      <c r="U60" s="15"/>
      <c r="V60" s="15"/>
      <c r="W60" s="15"/>
      <c r="X60" s="17"/>
    </row>
    <row r="61" spans="1:25" ht="28" x14ac:dyDescent="0.15">
      <c r="A61" s="6">
        <v>45971</v>
      </c>
      <c r="B61" s="7" t="s">
        <v>24</v>
      </c>
      <c r="C61" s="8" t="s">
        <v>242</v>
      </c>
      <c r="D61" s="8" t="s">
        <v>194</v>
      </c>
      <c r="E61" s="8" t="s">
        <v>195</v>
      </c>
      <c r="F61" s="9" t="s">
        <v>196</v>
      </c>
      <c r="G61" s="10">
        <v>10702</v>
      </c>
      <c r="H61" s="23" t="s">
        <v>243</v>
      </c>
      <c r="I61" s="21" t="s">
        <v>42</v>
      </c>
      <c r="J61" s="21">
        <v>1</v>
      </c>
      <c r="K61" s="21"/>
      <c r="L61" s="12">
        <v>1950</v>
      </c>
      <c r="M61" s="13" t="s">
        <v>207</v>
      </c>
      <c r="N61" s="8"/>
      <c r="O61" s="8"/>
      <c r="P61" s="8"/>
      <c r="Q61" s="15"/>
      <c r="R61" s="15"/>
      <c r="S61" s="16"/>
      <c r="T61" s="15"/>
      <c r="U61" s="15"/>
      <c r="V61" s="15"/>
      <c r="W61" s="15"/>
      <c r="X61" s="17"/>
    </row>
    <row r="62" spans="1:25" ht="28" x14ac:dyDescent="0.15">
      <c r="A62" s="6">
        <v>45971</v>
      </c>
      <c r="B62" s="7" t="s">
        <v>24</v>
      </c>
      <c r="C62" s="8" t="s">
        <v>244</v>
      </c>
      <c r="D62" s="8" t="s">
        <v>194</v>
      </c>
      <c r="E62" s="8" t="s">
        <v>195</v>
      </c>
      <c r="F62" s="9" t="s">
        <v>196</v>
      </c>
      <c r="G62" s="10">
        <v>10702</v>
      </c>
      <c r="H62" s="23" t="s">
        <v>245</v>
      </c>
      <c r="I62" s="21" t="s">
        <v>57</v>
      </c>
      <c r="J62" s="21">
        <v>1</v>
      </c>
      <c r="K62" s="21"/>
      <c r="L62" s="12">
        <v>1981</v>
      </c>
      <c r="M62" s="13" t="s">
        <v>246</v>
      </c>
      <c r="N62" s="8"/>
      <c r="O62" s="8"/>
      <c r="P62" s="8"/>
      <c r="Q62" s="15"/>
      <c r="R62" s="15"/>
      <c r="S62" s="16"/>
      <c r="T62" s="15"/>
      <c r="U62" s="15"/>
      <c r="V62" s="15"/>
      <c r="W62" s="15"/>
      <c r="X62" s="17"/>
    </row>
    <row r="63" spans="1:25" ht="28" x14ac:dyDescent="0.15">
      <c r="A63" s="6">
        <v>45971</v>
      </c>
      <c r="B63" s="7" t="s">
        <v>24</v>
      </c>
      <c r="C63" s="8" t="s">
        <v>247</v>
      </c>
      <c r="D63" s="8" t="s">
        <v>194</v>
      </c>
      <c r="E63" s="8" t="s">
        <v>195</v>
      </c>
      <c r="F63" s="9" t="s">
        <v>196</v>
      </c>
      <c r="G63" s="10">
        <v>10702</v>
      </c>
      <c r="H63" s="23" t="s">
        <v>248</v>
      </c>
      <c r="I63" s="21" t="s">
        <v>57</v>
      </c>
      <c r="J63" s="21">
        <v>1</v>
      </c>
      <c r="K63" s="21"/>
      <c r="L63" s="12">
        <v>1988</v>
      </c>
      <c r="M63" s="13" t="s">
        <v>249</v>
      </c>
      <c r="N63" s="8"/>
      <c r="O63" s="8"/>
      <c r="P63" s="8"/>
      <c r="Q63" s="15"/>
      <c r="R63" s="15"/>
      <c r="S63" s="16"/>
      <c r="T63" s="15"/>
      <c r="U63" s="15"/>
      <c r="V63" s="15"/>
      <c r="W63" s="15"/>
      <c r="X63" s="17"/>
    </row>
    <row r="64" spans="1:25" ht="28" x14ac:dyDescent="0.15">
      <c r="A64" s="6">
        <v>45971</v>
      </c>
      <c r="B64" s="7" t="s">
        <v>24</v>
      </c>
      <c r="C64" s="8" t="s">
        <v>250</v>
      </c>
      <c r="D64" s="8" t="s">
        <v>194</v>
      </c>
      <c r="E64" s="8" t="s">
        <v>195</v>
      </c>
      <c r="F64" s="9" t="s">
        <v>196</v>
      </c>
      <c r="G64" s="10">
        <v>10702</v>
      </c>
      <c r="H64" s="23" t="s">
        <v>251</v>
      </c>
      <c r="I64" s="21" t="s">
        <v>42</v>
      </c>
      <c r="J64" s="21">
        <v>1</v>
      </c>
      <c r="K64" s="21"/>
      <c r="L64" s="12">
        <v>1960</v>
      </c>
      <c r="M64" s="13" t="s">
        <v>252</v>
      </c>
      <c r="N64" s="8"/>
      <c r="O64" s="8"/>
      <c r="P64" s="8"/>
      <c r="Q64" s="15"/>
      <c r="R64" s="15"/>
      <c r="S64" s="16"/>
      <c r="T64" s="15"/>
      <c r="U64" s="15"/>
      <c r="V64" s="15"/>
      <c r="W64" s="15"/>
      <c r="X64" s="17"/>
    </row>
    <row r="65" spans="1:25" ht="42" x14ac:dyDescent="0.15">
      <c r="A65" s="6">
        <v>45971</v>
      </c>
      <c r="B65" s="7" t="s">
        <v>24</v>
      </c>
      <c r="C65" s="8" t="s">
        <v>253</v>
      </c>
      <c r="D65" s="8" t="s">
        <v>194</v>
      </c>
      <c r="E65" s="8" t="s">
        <v>195</v>
      </c>
      <c r="F65" s="9" t="s">
        <v>196</v>
      </c>
      <c r="G65" s="10">
        <v>10702</v>
      </c>
      <c r="H65" s="23" t="s">
        <v>254</v>
      </c>
      <c r="I65" s="21" t="s">
        <v>255</v>
      </c>
      <c r="J65" s="21">
        <v>10</v>
      </c>
      <c r="K65" s="21"/>
      <c r="L65" s="12" t="s">
        <v>256</v>
      </c>
      <c r="M65" s="13" t="s">
        <v>257</v>
      </c>
      <c r="N65" s="8"/>
      <c r="O65" s="8"/>
      <c r="P65" s="8"/>
      <c r="Q65" s="15"/>
      <c r="R65" s="15"/>
      <c r="S65" s="16"/>
      <c r="T65" s="15"/>
      <c r="U65" s="15"/>
      <c r="V65" s="15"/>
      <c r="W65" s="15"/>
      <c r="X65" s="17"/>
    </row>
    <row r="66" spans="1:25" ht="28" x14ac:dyDescent="0.15">
      <c r="A66" s="6">
        <v>45971</v>
      </c>
      <c r="B66" s="7" t="s">
        <v>24</v>
      </c>
      <c r="C66" s="8" t="s">
        <v>258</v>
      </c>
      <c r="D66" s="8" t="s">
        <v>194</v>
      </c>
      <c r="E66" s="8" t="s">
        <v>195</v>
      </c>
      <c r="F66" s="9" t="s">
        <v>196</v>
      </c>
      <c r="G66" s="10">
        <v>10702</v>
      </c>
      <c r="H66" s="23" t="s">
        <v>259</v>
      </c>
      <c r="I66" s="21" t="s">
        <v>204</v>
      </c>
      <c r="J66" s="21">
        <v>1</v>
      </c>
      <c r="K66" s="21"/>
      <c r="L66" s="12">
        <v>1951</v>
      </c>
      <c r="M66" s="13" t="s">
        <v>260</v>
      </c>
      <c r="N66" s="8"/>
      <c r="O66" s="8"/>
      <c r="P66" s="8"/>
      <c r="Q66" s="15"/>
      <c r="R66" s="15"/>
      <c r="S66" s="16"/>
      <c r="T66" s="15"/>
      <c r="U66" s="15"/>
      <c r="V66" s="15"/>
      <c r="W66" s="15"/>
      <c r="X66" s="17"/>
    </row>
    <row r="67" spans="1:25" ht="70" x14ac:dyDescent="0.15">
      <c r="A67" s="6">
        <v>45971</v>
      </c>
      <c r="B67" s="7" t="s">
        <v>24</v>
      </c>
      <c r="C67" s="8" t="s">
        <v>261</v>
      </c>
      <c r="D67" s="8" t="s">
        <v>194</v>
      </c>
      <c r="E67" s="8" t="s">
        <v>195</v>
      </c>
      <c r="F67" s="9" t="s">
        <v>196</v>
      </c>
      <c r="G67" s="10">
        <v>10702</v>
      </c>
      <c r="H67" s="23" t="s">
        <v>93</v>
      </c>
      <c r="I67" s="21" t="s">
        <v>262</v>
      </c>
      <c r="J67" s="21">
        <v>1</v>
      </c>
      <c r="K67" s="21"/>
      <c r="L67" s="12">
        <v>1968</v>
      </c>
      <c r="M67" s="13" t="s">
        <v>263</v>
      </c>
      <c r="N67" s="8"/>
      <c r="O67" s="8"/>
      <c r="P67" s="8"/>
      <c r="Q67" s="15"/>
      <c r="R67" s="15"/>
      <c r="S67" s="16"/>
      <c r="T67" s="15"/>
      <c r="U67" s="15"/>
      <c r="V67" s="15"/>
      <c r="W67" s="15"/>
      <c r="X67" s="17"/>
    </row>
    <row r="68" spans="1:25" ht="28" x14ac:dyDescent="0.15">
      <c r="A68" s="6">
        <v>45971</v>
      </c>
      <c r="B68" s="7" t="s">
        <v>24</v>
      </c>
      <c r="C68" s="8" t="s">
        <v>264</v>
      </c>
      <c r="D68" s="8" t="s">
        <v>194</v>
      </c>
      <c r="E68" s="8" t="s">
        <v>195</v>
      </c>
      <c r="F68" s="9" t="s">
        <v>196</v>
      </c>
      <c r="G68" s="10">
        <v>10702</v>
      </c>
      <c r="H68" s="23" t="s">
        <v>265</v>
      </c>
      <c r="I68" s="21" t="s">
        <v>217</v>
      </c>
      <c r="J68" s="21">
        <v>1</v>
      </c>
      <c r="K68" s="21"/>
      <c r="L68" s="12">
        <v>1964</v>
      </c>
      <c r="M68" s="13" t="s">
        <v>266</v>
      </c>
      <c r="N68" s="8"/>
      <c r="O68" s="8"/>
      <c r="P68" s="8"/>
      <c r="Q68" s="15"/>
      <c r="R68" s="15"/>
      <c r="S68" s="16"/>
      <c r="T68" s="15"/>
      <c r="U68" s="15"/>
      <c r="V68" s="15"/>
      <c r="W68" s="15"/>
      <c r="X68" s="17"/>
    </row>
    <row r="69" spans="1:25" ht="28" x14ac:dyDescent="0.15">
      <c r="A69" s="6">
        <v>45971</v>
      </c>
      <c r="B69" s="7" t="s">
        <v>24</v>
      </c>
      <c r="C69" s="8" t="s">
        <v>267</v>
      </c>
      <c r="D69" s="8" t="s">
        <v>194</v>
      </c>
      <c r="E69" s="8" t="s">
        <v>195</v>
      </c>
      <c r="F69" s="9" t="s">
        <v>196</v>
      </c>
      <c r="G69" s="10">
        <v>10702</v>
      </c>
      <c r="H69" s="23" t="s">
        <v>268</v>
      </c>
      <c r="I69" s="21" t="s">
        <v>217</v>
      </c>
      <c r="J69" s="21">
        <v>1</v>
      </c>
      <c r="K69" s="21"/>
      <c r="L69" s="12">
        <v>1950</v>
      </c>
      <c r="M69" s="13" t="s">
        <v>269</v>
      </c>
      <c r="N69" s="8"/>
      <c r="O69" s="8"/>
      <c r="P69" s="8"/>
      <c r="Q69" s="15"/>
      <c r="R69" s="15"/>
      <c r="S69" s="16"/>
      <c r="T69" s="15"/>
      <c r="U69" s="15"/>
      <c r="V69" s="15"/>
      <c r="W69" s="15"/>
      <c r="X69" s="17"/>
    </row>
    <row r="70" spans="1:25" ht="42" x14ac:dyDescent="0.15">
      <c r="A70" s="6">
        <v>45971</v>
      </c>
      <c r="B70" s="7" t="s">
        <v>270</v>
      </c>
      <c r="C70" s="8" t="s">
        <v>271</v>
      </c>
      <c r="D70" s="8" t="s">
        <v>272</v>
      </c>
      <c r="E70" s="8" t="s">
        <v>273</v>
      </c>
      <c r="F70" s="9" t="s">
        <v>274</v>
      </c>
      <c r="G70" s="10">
        <v>94525</v>
      </c>
      <c r="H70" s="11" t="s">
        <v>29</v>
      </c>
      <c r="I70" s="8" t="s">
        <v>30</v>
      </c>
      <c r="J70" s="8">
        <v>1</v>
      </c>
      <c r="K70" s="8">
        <v>23</v>
      </c>
      <c r="L70" s="12">
        <v>1920</v>
      </c>
      <c r="M70" s="13">
        <v>1294700</v>
      </c>
      <c r="N70" s="8" t="s">
        <v>275</v>
      </c>
      <c r="O70" s="14">
        <v>0.01</v>
      </c>
      <c r="P70" s="21"/>
      <c r="Q70" s="15">
        <v>326582000</v>
      </c>
      <c r="R70" s="15">
        <v>452978000</v>
      </c>
      <c r="S70" s="16"/>
      <c r="T70" s="15"/>
      <c r="U70" s="15">
        <f t="shared" ref="U70:U81" si="0">SUM(Q70:T70)</f>
        <v>779560000</v>
      </c>
      <c r="V70" s="15">
        <v>166671000</v>
      </c>
      <c r="W70" s="15">
        <f>+U70+V70</f>
        <v>946231000</v>
      </c>
      <c r="X70" s="17"/>
      <c r="Y70" s="18"/>
    </row>
    <row r="71" spans="1:25" ht="14" x14ac:dyDescent="0.15">
      <c r="A71" s="6"/>
      <c r="B71" s="7" t="s">
        <v>270</v>
      </c>
      <c r="C71" s="8" t="s">
        <v>276</v>
      </c>
      <c r="D71" s="8" t="s">
        <v>277</v>
      </c>
      <c r="E71" s="8" t="s">
        <v>273</v>
      </c>
      <c r="F71" s="9" t="s">
        <v>274</v>
      </c>
      <c r="G71" s="10"/>
      <c r="H71" s="10"/>
      <c r="I71" s="8"/>
      <c r="J71" s="21"/>
      <c r="K71" s="21"/>
      <c r="L71" s="12"/>
      <c r="M71" s="7"/>
      <c r="N71" s="8"/>
      <c r="O71" s="8"/>
      <c r="P71" s="8"/>
      <c r="Q71" s="15">
        <v>785473</v>
      </c>
      <c r="R71" s="15">
        <v>26522726</v>
      </c>
      <c r="S71" s="16"/>
      <c r="T71" s="15"/>
      <c r="U71" s="15">
        <f t="shared" si="0"/>
        <v>27308199</v>
      </c>
      <c r="V71" s="15"/>
      <c r="W71" s="15">
        <f t="shared" ref="W71:W81" si="1">+U71+V71</f>
        <v>27308199</v>
      </c>
      <c r="Y71" s="18"/>
    </row>
    <row r="72" spans="1:25" ht="14" x14ac:dyDescent="0.15">
      <c r="A72" s="6"/>
      <c r="B72" s="7" t="s">
        <v>270</v>
      </c>
      <c r="C72" s="8" t="s">
        <v>278</v>
      </c>
      <c r="D72" s="8" t="s">
        <v>279</v>
      </c>
      <c r="E72" s="8" t="s">
        <v>273</v>
      </c>
      <c r="F72" s="9" t="s">
        <v>274</v>
      </c>
      <c r="G72" s="10">
        <v>94525</v>
      </c>
      <c r="H72" s="10"/>
      <c r="I72" s="8"/>
      <c r="J72" s="21"/>
      <c r="K72" s="21"/>
      <c r="L72" s="12"/>
      <c r="M72" s="7"/>
      <c r="N72" s="8"/>
      <c r="O72" s="8"/>
      <c r="P72" s="8"/>
      <c r="Q72" s="15">
        <v>234071</v>
      </c>
      <c r="R72" s="15"/>
      <c r="S72" s="16"/>
      <c r="T72" s="15"/>
      <c r="U72" s="15">
        <f t="shared" si="0"/>
        <v>234071</v>
      </c>
      <c r="V72" s="15"/>
      <c r="W72" s="15">
        <f t="shared" si="1"/>
        <v>234071</v>
      </c>
    </row>
    <row r="73" spans="1:25" ht="14" x14ac:dyDescent="0.15">
      <c r="A73" s="6"/>
      <c r="B73" s="7" t="s">
        <v>270</v>
      </c>
      <c r="C73" s="8" t="s">
        <v>280</v>
      </c>
      <c r="D73" s="8" t="s">
        <v>281</v>
      </c>
      <c r="E73" s="8" t="s">
        <v>273</v>
      </c>
      <c r="F73" s="9" t="s">
        <v>274</v>
      </c>
      <c r="G73" s="10">
        <v>94525</v>
      </c>
      <c r="H73" s="10"/>
      <c r="I73" s="8"/>
      <c r="J73" s="21"/>
      <c r="K73" s="21"/>
      <c r="L73" s="12"/>
      <c r="M73" s="7"/>
      <c r="N73" s="8"/>
      <c r="O73" s="8"/>
      <c r="P73" s="8"/>
      <c r="Q73" s="15">
        <v>411588</v>
      </c>
      <c r="R73" s="15"/>
      <c r="S73" s="16"/>
      <c r="T73" s="15"/>
      <c r="U73" s="15">
        <f t="shared" si="0"/>
        <v>411588</v>
      </c>
      <c r="V73" s="15"/>
      <c r="W73" s="15">
        <f t="shared" si="1"/>
        <v>411588</v>
      </c>
    </row>
    <row r="74" spans="1:25" ht="42" x14ac:dyDescent="0.15">
      <c r="A74" s="6">
        <v>45971</v>
      </c>
      <c r="B74" s="7" t="s">
        <v>24</v>
      </c>
      <c r="C74" s="8" t="s">
        <v>282</v>
      </c>
      <c r="D74" s="8" t="s">
        <v>283</v>
      </c>
      <c r="E74" s="13" t="s">
        <v>284</v>
      </c>
      <c r="F74" s="9" t="s">
        <v>285</v>
      </c>
      <c r="G74" s="10">
        <v>60608</v>
      </c>
      <c r="H74" s="11" t="s">
        <v>29</v>
      </c>
      <c r="I74" s="8" t="s">
        <v>286</v>
      </c>
      <c r="J74" s="8">
        <v>1</v>
      </c>
      <c r="K74" s="8">
        <v>1</v>
      </c>
      <c r="L74" s="12">
        <v>1956</v>
      </c>
      <c r="M74" s="42">
        <v>53000</v>
      </c>
      <c r="N74" s="8" t="s">
        <v>287</v>
      </c>
      <c r="O74" s="14">
        <v>0</v>
      </c>
      <c r="P74" s="8" t="s">
        <v>288</v>
      </c>
      <c r="Q74" s="15">
        <v>9030000</v>
      </c>
      <c r="R74" s="15">
        <v>21451000</v>
      </c>
      <c r="S74" s="16"/>
      <c r="T74" s="15"/>
      <c r="U74" s="15">
        <f t="shared" si="0"/>
        <v>30481000</v>
      </c>
      <c r="V74" s="15">
        <v>837000</v>
      </c>
      <c r="W74" s="15">
        <f t="shared" si="1"/>
        <v>31318000</v>
      </c>
      <c r="Y74" s="18"/>
    </row>
    <row r="75" spans="1:25" ht="28" x14ac:dyDescent="0.15">
      <c r="A75" s="6">
        <v>45971</v>
      </c>
      <c r="B75" s="7" t="s">
        <v>24</v>
      </c>
      <c r="C75" s="8" t="s">
        <v>289</v>
      </c>
      <c r="D75" s="8" t="s">
        <v>290</v>
      </c>
      <c r="E75" s="8" t="s">
        <v>284</v>
      </c>
      <c r="F75" s="9" t="s">
        <v>285</v>
      </c>
      <c r="G75" s="10">
        <v>60633</v>
      </c>
      <c r="H75" s="10"/>
      <c r="I75" s="8" t="s">
        <v>291</v>
      </c>
      <c r="J75" s="21"/>
      <c r="K75" s="21"/>
      <c r="L75" s="12" t="s">
        <v>292</v>
      </c>
      <c r="M75" s="13" t="s">
        <v>293</v>
      </c>
      <c r="N75" s="8"/>
      <c r="O75" s="8"/>
      <c r="P75" s="8"/>
      <c r="Q75" s="15">
        <v>3419000</v>
      </c>
      <c r="R75" s="15">
        <v>10202000</v>
      </c>
      <c r="S75" s="16"/>
      <c r="T75" s="15"/>
      <c r="U75" s="15">
        <f t="shared" si="0"/>
        <v>13621000</v>
      </c>
      <c r="V75" s="15">
        <v>2099000</v>
      </c>
      <c r="W75" s="15">
        <f t="shared" si="1"/>
        <v>15720000</v>
      </c>
      <c r="Y75" s="18"/>
    </row>
    <row r="76" spans="1:25" ht="14" x14ac:dyDescent="0.15">
      <c r="A76" s="6">
        <v>45971</v>
      </c>
      <c r="B76" s="7" t="s">
        <v>24</v>
      </c>
      <c r="C76" s="8" t="s">
        <v>294</v>
      </c>
      <c r="D76" s="8" t="s">
        <v>295</v>
      </c>
      <c r="E76" s="8" t="s">
        <v>296</v>
      </c>
      <c r="F76" s="9" t="s">
        <v>297</v>
      </c>
      <c r="G76" s="10">
        <v>28205</v>
      </c>
      <c r="H76" s="10"/>
      <c r="I76" s="8"/>
      <c r="J76" s="21"/>
      <c r="K76" s="21"/>
      <c r="L76" s="12"/>
      <c r="M76" s="42"/>
      <c r="N76" s="8"/>
      <c r="O76" s="8"/>
      <c r="P76" s="8"/>
      <c r="Q76" s="15">
        <v>0</v>
      </c>
      <c r="R76" s="15">
        <v>1637000</v>
      </c>
      <c r="S76" s="16"/>
      <c r="T76" s="15"/>
      <c r="U76" s="15">
        <f t="shared" si="0"/>
        <v>1637000</v>
      </c>
      <c r="V76" s="15">
        <v>606000</v>
      </c>
      <c r="W76" s="15">
        <f t="shared" si="1"/>
        <v>2243000</v>
      </c>
    </row>
    <row r="77" spans="1:25" ht="42" x14ac:dyDescent="0.15">
      <c r="A77" s="6">
        <v>45971</v>
      </c>
      <c r="B77" s="7" t="s">
        <v>24</v>
      </c>
      <c r="C77" s="8" t="s">
        <v>298</v>
      </c>
      <c r="D77" s="8" t="s">
        <v>299</v>
      </c>
      <c r="E77" s="13" t="s">
        <v>300</v>
      </c>
      <c r="F77" s="9" t="s">
        <v>301</v>
      </c>
      <c r="G77" s="10">
        <v>44103</v>
      </c>
      <c r="H77" s="11" t="s">
        <v>29</v>
      </c>
      <c r="I77" s="8" t="s">
        <v>302</v>
      </c>
      <c r="J77" s="8">
        <v>1</v>
      </c>
      <c r="K77" s="8">
        <v>8</v>
      </c>
      <c r="L77" s="12">
        <v>1910</v>
      </c>
      <c r="M77" s="13">
        <v>112602</v>
      </c>
      <c r="N77" s="8" t="s">
        <v>303</v>
      </c>
      <c r="O77" s="73" t="s">
        <v>304</v>
      </c>
      <c r="P77" s="8" t="s">
        <v>305</v>
      </c>
      <c r="Q77" s="15" t="s">
        <v>200</v>
      </c>
      <c r="R77" s="15" t="s">
        <v>200</v>
      </c>
      <c r="S77" s="16"/>
      <c r="T77" s="15"/>
      <c r="U77" s="15">
        <f t="shared" si="0"/>
        <v>0</v>
      </c>
      <c r="V77" s="15" t="s">
        <v>200</v>
      </c>
      <c r="W77" s="15">
        <v>0</v>
      </c>
      <c r="X77" s="29" t="s">
        <v>306</v>
      </c>
    </row>
    <row r="78" spans="1:25" x14ac:dyDescent="0.15">
      <c r="A78" s="6">
        <v>45971</v>
      </c>
      <c r="B78" s="7" t="s">
        <v>24</v>
      </c>
      <c r="C78" s="42" t="s">
        <v>307</v>
      </c>
      <c r="D78" s="42" t="s">
        <v>308</v>
      </c>
      <c r="E78" s="42" t="s">
        <v>309</v>
      </c>
      <c r="F78" s="74" t="s">
        <v>310</v>
      </c>
      <c r="G78" s="10">
        <v>37211</v>
      </c>
      <c r="H78" s="10"/>
      <c r="I78" s="42"/>
      <c r="J78" s="75"/>
      <c r="K78" s="75"/>
      <c r="L78" s="42"/>
      <c r="M78" s="42"/>
      <c r="N78" s="42"/>
      <c r="O78" s="42"/>
      <c r="P78" s="42"/>
      <c r="Q78" s="15">
        <v>0</v>
      </c>
      <c r="R78" s="15">
        <v>4019000</v>
      </c>
      <c r="S78" s="16"/>
      <c r="T78" s="15"/>
      <c r="U78" s="15">
        <f t="shared" si="0"/>
        <v>4019000</v>
      </c>
      <c r="V78" s="15">
        <v>5317000</v>
      </c>
      <c r="W78" s="15">
        <f t="shared" si="1"/>
        <v>9336000</v>
      </c>
    </row>
    <row r="79" spans="1:25" ht="14" x14ac:dyDescent="0.15">
      <c r="A79" s="6">
        <v>45971</v>
      </c>
      <c r="B79" s="7" t="s">
        <v>24</v>
      </c>
      <c r="C79" s="42" t="s">
        <v>311</v>
      </c>
      <c r="D79" s="8" t="s">
        <v>312</v>
      </c>
      <c r="E79" s="8" t="s">
        <v>313</v>
      </c>
      <c r="F79" s="8" t="s">
        <v>314</v>
      </c>
      <c r="G79" s="8">
        <v>33431</v>
      </c>
      <c r="H79" s="8"/>
      <c r="I79" s="76"/>
      <c r="J79" s="22"/>
      <c r="K79" s="22"/>
      <c r="L79" s="77">
        <f>+Q12</f>
        <v>0</v>
      </c>
      <c r="M79" s="77">
        <f>+Q53</f>
        <v>0</v>
      </c>
      <c r="N79" s="77">
        <f>+N38</f>
        <v>0</v>
      </c>
      <c r="O79" s="77"/>
      <c r="P79" s="77"/>
      <c r="Q79" s="15">
        <v>0</v>
      </c>
      <c r="R79" s="15">
        <v>3198000</v>
      </c>
      <c r="S79" s="16"/>
      <c r="T79" s="15"/>
      <c r="U79" s="15">
        <f t="shared" si="0"/>
        <v>3198000</v>
      </c>
      <c r="V79" s="15">
        <v>0</v>
      </c>
      <c r="W79" s="15">
        <f t="shared" si="1"/>
        <v>3198000</v>
      </c>
    </row>
    <row r="80" spans="1:25" x14ac:dyDescent="0.15">
      <c r="A80" s="6">
        <v>45971</v>
      </c>
      <c r="B80" s="78" t="s">
        <v>315</v>
      </c>
      <c r="C80" s="79" t="s">
        <v>316</v>
      </c>
      <c r="D80" s="42" t="s">
        <v>317</v>
      </c>
      <c r="E80" s="42" t="s">
        <v>316</v>
      </c>
      <c r="F80" s="74" t="s">
        <v>196</v>
      </c>
      <c r="G80" s="10">
        <v>14206</v>
      </c>
      <c r="H80" s="10"/>
      <c r="I80" s="42"/>
      <c r="J80" s="75"/>
      <c r="K80" s="75"/>
      <c r="L80" s="42"/>
      <c r="M80" s="42"/>
      <c r="N80" s="42"/>
      <c r="O80" s="42"/>
      <c r="P80" s="42"/>
      <c r="Q80" s="15">
        <v>1686000</v>
      </c>
      <c r="R80" s="15">
        <v>10312000</v>
      </c>
      <c r="S80" s="16"/>
      <c r="T80" s="15"/>
      <c r="U80" s="15">
        <f t="shared" si="0"/>
        <v>11998000</v>
      </c>
      <c r="V80" s="15">
        <v>40634000</v>
      </c>
      <c r="W80" s="15">
        <f t="shared" si="1"/>
        <v>52632000</v>
      </c>
    </row>
    <row r="81" spans="1:24" ht="14" x14ac:dyDescent="0.15">
      <c r="A81" s="6">
        <v>45971</v>
      </c>
      <c r="B81" s="7" t="s">
        <v>318</v>
      </c>
      <c r="C81" s="8" t="s">
        <v>319</v>
      </c>
      <c r="D81" s="8" t="s">
        <v>319</v>
      </c>
      <c r="E81" s="8"/>
      <c r="F81" s="9" t="s">
        <v>314</v>
      </c>
      <c r="G81" s="9"/>
      <c r="H81" s="9"/>
      <c r="I81" s="8"/>
      <c r="J81" s="21"/>
      <c r="K81" s="21"/>
      <c r="L81" s="12"/>
      <c r="M81" s="7"/>
      <c r="N81" s="8"/>
      <c r="O81" s="8"/>
      <c r="P81" s="8"/>
      <c r="Q81" s="15"/>
      <c r="R81" s="15"/>
      <c r="S81" s="16"/>
      <c r="T81" s="15">
        <v>90220000</v>
      </c>
      <c r="U81" s="15">
        <f t="shared" si="0"/>
        <v>90220000</v>
      </c>
      <c r="V81" s="15"/>
      <c r="W81" s="15">
        <f t="shared" si="1"/>
        <v>90220000</v>
      </c>
    </row>
    <row r="82" spans="1:24" x14ac:dyDescent="0.15">
      <c r="A82" s="80" t="s">
        <v>320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1">
        <f>SUM(Q5:Q81)</f>
        <v>835739132</v>
      </c>
      <c r="R82" s="81">
        <f>SUM(R5:R81)</f>
        <v>1509394726</v>
      </c>
      <c r="S82" s="82"/>
      <c r="T82" s="81">
        <f>SUM(T5:T81)</f>
        <v>90220000</v>
      </c>
      <c r="U82" s="81">
        <f>SUM(U5:U81)</f>
        <v>2435353858</v>
      </c>
      <c r="V82" s="81">
        <f>SUM(V5:V81)</f>
        <v>700603000</v>
      </c>
      <c r="W82" s="81">
        <f>SUM(W5:W81)</f>
        <v>3135956858</v>
      </c>
    </row>
    <row r="83" spans="1:24" ht="28" x14ac:dyDescent="0.15">
      <c r="D83" s="83" t="s">
        <v>321</v>
      </c>
      <c r="P83" s="1" t="s">
        <v>322</v>
      </c>
      <c r="Q83" s="18">
        <f>SUM(Q71:Q73)</f>
        <v>1431132</v>
      </c>
      <c r="R83" s="18">
        <f>SUM(R71:R73)</f>
        <v>26522726</v>
      </c>
      <c r="W83" s="18">
        <f>SUM(W71:W73)</f>
        <v>27953858</v>
      </c>
    </row>
    <row r="84" spans="1:24" x14ac:dyDescent="0.15">
      <c r="A84" s="29" t="s">
        <v>323</v>
      </c>
      <c r="B84" s="29"/>
      <c r="C84" s="29"/>
      <c r="Q84" s="18">
        <f>Q82-Q83</f>
        <v>834308000</v>
      </c>
      <c r="R84" s="18">
        <f>R82-R83</f>
        <v>1482872000</v>
      </c>
      <c r="S84" s="18"/>
      <c r="T84" s="18"/>
      <c r="U84" s="18"/>
      <c r="V84" s="18"/>
      <c r="W84" s="18">
        <f>W82-W83</f>
        <v>3108003000</v>
      </c>
    </row>
    <row r="85" spans="1:24" x14ac:dyDescent="0.15">
      <c r="Q85" s="18"/>
      <c r="R85" s="18"/>
      <c r="T85" s="18"/>
      <c r="U85" s="18"/>
      <c r="V85" s="18"/>
      <c r="W85" s="18"/>
    </row>
    <row r="86" spans="1:24" x14ac:dyDescent="0.15">
      <c r="Q86" s="18"/>
      <c r="R86" s="18"/>
      <c r="T86" s="18"/>
      <c r="U86" s="18"/>
      <c r="V86" s="18"/>
      <c r="W86" s="84"/>
      <c r="X86" s="85"/>
    </row>
    <row r="87" spans="1:24" x14ac:dyDescent="0.15">
      <c r="Q87" s="18"/>
      <c r="R87" s="18"/>
      <c r="S87" s="18"/>
      <c r="T87" s="18"/>
      <c r="U87" s="18"/>
      <c r="X87" s="18"/>
    </row>
    <row r="88" spans="1:24" x14ac:dyDescent="0.15">
      <c r="X88" s="18"/>
    </row>
    <row r="89" spans="1:24" x14ac:dyDescent="0.15">
      <c r="X89" s="18"/>
    </row>
  </sheetData>
  <conditionalFormatting sqref="W5:W81">
    <cfRule type="expression" dxfId="0" priority="1">
      <formula>"IF $r=$S"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Rendell</dc:creator>
  <cp:lastModifiedBy>James Rendell</cp:lastModifiedBy>
  <dcterms:created xsi:type="dcterms:W3CDTF">2026-05-14T12:47:51Z</dcterms:created>
  <dcterms:modified xsi:type="dcterms:W3CDTF">2026-05-14T12:48:11Z</dcterms:modified>
</cp:coreProperties>
</file>